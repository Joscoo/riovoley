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tive\Documents\stiven\8 Semestre\Aplicaciones Informaticas II\Tareas Individuales\"/>
    </mc:Choice>
  </mc:AlternateContent>
  <xr:revisionPtr revIDLastSave="0" documentId="13_ncr:1_{E912F745-8877-4280-B554-249A387EDC05}" xr6:coauthVersionLast="47" xr6:coauthVersionMax="47" xr10:uidLastSave="{00000000-0000-0000-0000-000000000000}"/>
  <bookViews>
    <workbookView xWindow="-19320" yWindow="-120" windowWidth="19440" windowHeight="14880" activeTab="2" xr2:uid="{00000000-000D-0000-FFFF-FFFF00000000}"/>
  </bookViews>
  <sheets>
    <sheet name="Historias de Usuario" sheetId="1" r:id="rId1"/>
    <sheet name="HISTORIAS TÉCNICAS" sheetId="2" r:id="rId2"/>
    <sheet name="PRODUCT BACKLO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2" l="1"/>
  <c r="I14" i="1"/>
  <c r="I23" i="3"/>
</calcChain>
</file>

<file path=xl/sharedStrings.xml><?xml version="1.0" encoding="utf-8"?>
<sst xmlns="http://schemas.openxmlformats.org/spreadsheetml/2006/main" count="365" uniqueCount="163">
  <si>
    <t>ID</t>
  </si>
  <si>
    <t>Historia de Usuario</t>
  </si>
  <si>
    <t>Descripción</t>
  </si>
  <si>
    <t>Criterios de Aceptación</t>
  </si>
  <si>
    <t>Prioridad</t>
  </si>
  <si>
    <t>Estado</t>
  </si>
  <si>
    <t>Sprint</t>
  </si>
  <si>
    <t>HU-01</t>
  </si>
  <si>
    <t>Alta</t>
  </si>
  <si>
    <t>Pendiente</t>
  </si>
  <si>
    <t>Sprint 1</t>
  </si>
  <si>
    <t>HU-02</t>
  </si>
  <si>
    <t>HU-03</t>
  </si>
  <si>
    <t>Gestión de asistencias</t>
  </si>
  <si>
    <t>Sprint 2</t>
  </si>
  <si>
    <t>HU-04</t>
  </si>
  <si>
    <t>Gestión de pagos</t>
  </si>
  <si>
    <t>HU-05</t>
  </si>
  <si>
    <t>Sprint 3</t>
  </si>
  <si>
    <t>HU-06</t>
  </si>
  <si>
    <t>Media</t>
  </si>
  <si>
    <t>Sprint 4</t>
  </si>
  <si>
    <t>HU-07</t>
  </si>
  <si>
    <t>Sistema de gamificación</t>
  </si>
  <si>
    <t>HU-08</t>
  </si>
  <si>
    <t>Sprint 5</t>
  </si>
  <si>
    <t>HU-09</t>
  </si>
  <si>
    <t>HISTORIAS DE USUARIO</t>
  </si>
  <si>
    <t>HT-01</t>
  </si>
  <si>
    <t>Sprint 0</t>
  </si>
  <si>
    <t>HT-02</t>
  </si>
  <si>
    <t>HT-03</t>
  </si>
  <si>
    <t>HT-04</t>
  </si>
  <si>
    <t>HT-05</t>
  </si>
  <si>
    <t>HT-06</t>
  </si>
  <si>
    <t>HT-07</t>
  </si>
  <si>
    <t>HT-08</t>
  </si>
  <si>
    <t>HT-09</t>
  </si>
  <si>
    <t>HT-10</t>
  </si>
  <si>
    <t>Sprint 6</t>
  </si>
  <si>
    <t>HISTORIAS TÉCNICAS</t>
  </si>
  <si>
    <t>Tipo</t>
  </si>
  <si>
    <t>Duración (días)</t>
  </si>
  <si>
    <t>Técnica</t>
  </si>
  <si>
    <t>Usuario</t>
  </si>
  <si>
    <t>PRODUCT BACKLOG</t>
  </si>
  <si>
    <t>Requisito Asociado</t>
  </si>
  <si>
    <t>RF-01 Gestión de usuarios</t>
  </si>
  <si>
    <t>RF-03 Control de asistencias</t>
  </si>
  <si>
    <t>TOTAL HISTORIAS DE USUARIO</t>
  </si>
  <si>
    <t>Objetivo del Sprint</t>
  </si>
  <si>
    <t>Historia / Descripción</t>
  </si>
  <si>
    <t>Preparar la infraestructura base del sistema</t>
  </si>
  <si>
    <t>Configuración de base de datos</t>
  </si>
  <si>
    <t>Implementar acceso y gestión básica de usuarios</t>
  </si>
  <si>
    <t>Desarrollar gestión administrativa básica</t>
  </si>
  <si>
    <t>Implementar registro y almacenamiento de datos físicos</t>
  </si>
  <si>
    <t>Integración frontend-backend</t>
  </si>
  <si>
    <t>Implementar visualización y gamificación</t>
  </si>
  <si>
    <t>Visualización del progreso</t>
  </si>
  <si>
    <t>TOTAL BACKLOG (HU + HT)</t>
  </si>
  <si>
    <t>TOTAL HISTORIAS TÉCNICAS</t>
  </si>
  <si>
    <t>Como administrador, quiero registrar, editar, consultar, activar o desactivar atletas, entrenadores y administradores, para gestionar adecuadamente el acceso al sistema según sus roles.</t>
  </si>
  <si>
    <t>Permite la administración de usuarios y la asignación de roles dentro del sistema.</t>
  </si>
  <si>
    <t>Registro correcto de datos obligatorios; asignación válida de rol; creación de credenciales; edición y actualización de información; activación o desactivación de usuarios.</t>
  </si>
  <si>
    <t>Como usuario registrado, quiero iniciar sesión con mis credenciales, para acceder al sistema de acuerdo con los permisos definidos por mi rol.</t>
  </si>
  <si>
    <t>Permite a los usuarios autenticarse y acceder a las funcionalidades correspondientes.</t>
  </si>
  <si>
    <t>Validación correcta de credenciales; acceso según rol; mensaje de error ante credenciales inválidas; creación de sesión segura.</t>
  </si>
  <si>
    <t>RF-02 Autenticación e inicio de sesión</t>
  </si>
  <si>
    <t>Como entrenador, quiero registrar la asistencia diaria de los atletas, para llevar control de su participación en los entrenamientos.</t>
  </si>
  <si>
    <t>Permite registrar y consultar la asistencia de los atletas por fecha o sesión.</t>
  </si>
  <si>
    <t>Selección de fecha; registro individual o grupal de asistencia; almacenamiento correcto; historial disponible para consulta.</t>
  </si>
  <si>
    <t>Como administrador o entrenador, quiero crear, modificar y consultar horarios de entrenamiento por categoría, para organizar de forma adecuada las actividades deportivas.</t>
  </si>
  <si>
    <t>Permite gestionar horarios según categorías o grupos de entrenamiento.</t>
  </si>
  <si>
    <t>Creación de horarios; edición de horarios existentes; consulta por categoría; visualización ordenada de cronogramas.</t>
  </si>
  <si>
    <t>RF-04 Gestión de horarios</t>
  </si>
  <si>
    <t>Como administrador, quiero registrar y consultar los pagos de mensualidades de los atletas, para mantener un control financiero ordenado y actualizado.</t>
  </si>
  <si>
    <t>Permite registrar pagos, revisar historial y consultar estados pendientes.</t>
  </si>
  <si>
    <t>Registro por atleta; asociación a periodo; historial disponible; consulta de pagos pendientes o realizados.</t>
  </si>
  <si>
    <t>RF-05 Gestión de pagos</t>
  </si>
  <si>
    <t>Como entrenador, quiero registrar evaluaciones físicas, técnicas y antropométricas de los atletas, para almacenar su historial y dar seguimiento a su rendimiento.</t>
  </si>
  <si>
    <t>Permite ingresar resultados de pruebas y conservar un registro histórico por atleta.</t>
  </si>
  <si>
    <t>Registro correcto de datos; selección de tipo de prueba; almacenamiento histórico; consulta por atleta y fecha.</t>
  </si>
  <si>
    <t>Como atleta, quiero visualizar mi progreso físico mediante gráficos, indicadores e historial de resultados, para conocer mi evolución en el tiempo.</t>
  </si>
  <si>
    <t>Permite consultar el avance personal del atleta a partir de sus evaluaciones registradas.</t>
  </si>
  <si>
    <t>Visualización de gráficas; comparación de resultados; consulta histórica; información clara y actualizada.</t>
  </si>
  <si>
    <t>RF-07 Seguimiento del progreso</t>
  </si>
  <si>
    <t>RF-06 Registro de evaluaciones físicas, técnicas y antropométricas</t>
  </si>
  <si>
    <t>Como atleta, quiero recibir puntos, niveles, insignias y recompensas según mi participación y progreso, para sentirme motivado a continuar con mis actividades deportivas.</t>
  </si>
  <si>
    <t>Permite aplicar mecánicas de gamificación basadas en logros y desempeño del atleta.</t>
  </si>
  <si>
    <t>Asignación automática de recompensas; actualización del nivel; visualización clara de insignias y puntos; persistencia del progreso gamificado.</t>
  </si>
  <si>
    <t>RF-08 Sistema de gamificación</t>
  </si>
  <si>
    <t>Como administrador o entrenador, quiero generar reportes administrativos y deportivos, para apoyar el seguimiento institucional y la toma de decisiones.</t>
  </si>
  <si>
    <t>Permite obtener reportes relacionados con pagos, asistencia, evaluaciones y rendimiento.</t>
  </si>
  <si>
    <t>Generación de reportes por filtros; visualización clara; consulta por fecha, atleta o categoría; disponibilidad de reportes administrativos y deportivos.</t>
  </si>
  <si>
    <t>Como usuario del sistema, quiero recibir notificaciones sobre pagos, horarios, actividades, resultados o logros, para mantenerme informado sobre eventos importantes.</t>
  </si>
  <si>
    <t>Permite informar a los usuarios sobre eventos relevantes según su rol.</t>
  </si>
  <si>
    <t>Envío de avisos según evento; visualización de alertas; diferenciación por tipo de usuario; recepción correcta de notificaciones.</t>
  </si>
  <si>
    <t>RF-09 Notificaciones</t>
  </si>
  <si>
    <t>HU-10</t>
  </si>
  <si>
    <t>RF-10 Generación de reportes</t>
  </si>
  <si>
    <t>Historia técnica</t>
  </si>
  <si>
    <t>Criterios de aceptación</t>
  </si>
  <si>
    <t>Requisito asociado</t>
  </si>
  <si>
    <t>Diseñar e implementar la base de datos relacional del sistema en PostgreSQL/Supabase para soportar usuarios, asistencias, pagos, horarios, evaluaciones, gamificación y reportes.</t>
  </si>
  <si>
    <t>Tablas creadas correctamente; relaciones definidas; claves primarias y foráneas configuradas; restricciones de integridad aplicadas; esquema validado.</t>
  </si>
  <si>
    <t>RF-01 a RF-10</t>
  </si>
  <si>
    <t>Implementación de autenticación</t>
  </si>
  <si>
    <t>Configurar el sistema de autenticación con Supabase para permitir inicio de sesión seguro y control de acceso por roles.</t>
  </si>
  <si>
    <t>Login funcional; validación de credenciales; sesiones activas correctamente; cierre de sesión operativo; acceso restringido según rol.</t>
  </si>
  <si>
    <t>Implementar endpoints y lógica de backend para registrar, consultar, actualizar, activar o desactivar usuarios.</t>
  </si>
  <si>
    <t>CRUD funcional de usuarios; validaciones de datos; respuesta correcta del backend; pruebas básicas superadas.</t>
  </si>
  <si>
    <t>Desarrollo de frontend web de usuarios</t>
  </si>
  <si>
    <t>Construir las pantallas y formularios web para la gestión de usuarios por parte del administrador.</t>
  </si>
  <si>
    <t>Formularios funcionales; listado de usuarios visible; edición operativa; mensajes de confirmación y error mostrados correctamente.</t>
  </si>
  <si>
    <t>Implementar endpoints para registrar asistencias, gestionar horarios y registrar pagos de atletas.</t>
  </si>
  <si>
    <t>CRUD funcional en cada módulo; validaciones correctas; persistencia de datos; respuestas consistentes del backend.</t>
  </si>
  <si>
    <t>RF-03 Control de asistencia, RF-04 Gestión de horarios, RF-05 Gestión de pagos</t>
  </si>
  <si>
    <t>Desarrollo de frontend web administrativo</t>
  </si>
  <si>
    <t>Construir la interfaz web para asistencia, horarios y pagos, orientada a administradores y entrenadores.</t>
  </si>
  <si>
    <t>Registro de asistencia operativo; gestión de horarios funcional; registro y consulta de pagos disponible; navegación clara entre módulos.</t>
  </si>
  <si>
    <t>RF-03, RF-04, RF-05</t>
  </si>
  <si>
    <t>Implementación de módulo de evaluaciones</t>
  </si>
  <si>
    <t>Desarrollar backend y formularios web para registrar evaluaciones físicas, técnicas y antropométricas de los atletas.</t>
  </si>
  <si>
    <t>Registro de evaluaciones funcional; selección por tipo de prueba; almacenamiento histórico correcto; consulta por atleta disponible.</t>
  </si>
  <si>
    <t>Integrar la aplicación web y la aplicación móvil con los servicios de backend y la base de datos.</t>
  </si>
  <si>
    <t>Consumo correcto de API; datos sincronizados; errores controlados; flujo estable entre cliente y servidor.</t>
  </si>
  <si>
    <t>Desarrollo de aplicación móvil para atletas</t>
  </si>
  <si>
    <t>Construir la aplicación móvil para consulta de progreso, visualización gamificada y recepción de notificaciones por parte del atleta.</t>
  </si>
  <si>
    <t>Navegación fluida; visualización correcta de progreso; vista de logros funcional; acceso a información del atleta operativo.</t>
  </si>
  <si>
    <t>RF-07 Seguimiento del progreso, RF-08 Sistema de gamificación, RF-09 Notificaciones</t>
  </si>
  <si>
    <t>Implementación de lógica de seguimiento y visualización</t>
  </si>
  <si>
    <t>Desarrollar el procesamiento y representación gráfica de resultados históricos de evaluaciones para mostrar el progreso del atleta.</t>
  </si>
  <si>
    <t>Gráficas funcionales; comparación de resultados disponible; datos históricos correctos; información visual clara.</t>
  </si>
  <si>
    <t>HT-11</t>
  </si>
  <si>
    <t>Implementación de lógica de gamificación</t>
  </si>
  <si>
    <t>Desarrollar las reglas de negocio para asignación de puntos, niveles, insignias y recompensas según progreso y participación.</t>
  </si>
  <si>
    <t>Cálculo automático correcto; actualización de nivel; asignación de insignias funcional; persistencia del estado gamificado.</t>
  </si>
  <si>
    <t>HT-12</t>
  </si>
  <si>
    <t>Desarrollo de dashboards y reportes</t>
  </si>
  <si>
    <t>Implementar paneles visuales y reportes administrativos/deportivos para consulta por administradores y entrenadores.</t>
  </si>
  <si>
    <t>Reportes generados correctamente; filtros funcionales; dashboards visibles; datos consistentes con la base de datos.</t>
  </si>
  <si>
    <t>HT-13</t>
  </si>
  <si>
    <t>Implementación de notificaciones</t>
  </si>
  <si>
    <t>Desarrollar el mecanismo de generación y visualización de notificaciones según eventos del sistema.</t>
  </si>
  <si>
    <t>Notificaciones generadas por evento; visualización correcta; mensajes diferenciados por rol; registro de envío funcional.</t>
  </si>
  <si>
    <t>HT-14</t>
  </si>
  <si>
    <t>Pruebas funcionales del sistema</t>
  </si>
  <si>
    <t>Ejecutar pruebas funcionales sobre los módulos implementados para verificar el cumplimiento de requisitos.</t>
  </si>
  <si>
    <t>Casos de prueba ejecutados; errores críticos identificados; correcciones aplicadas; evidencia de validación disponible.</t>
  </si>
  <si>
    <t>HT-15</t>
  </si>
  <si>
    <t>Ajustes finales y despliegue de prueba</t>
  </si>
  <si>
    <t>Realizar correcciones finales, estabilizar el sistema y preparar una versión funcional para pruebas de validación.</t>
  </si>
  <si>
    <t>Versión estable disponible; errores críticos resueltos; entorno de prueba operativo; sistema listo para validación.</t>
  </si>
  <si>
    <t>Registro y gestión de usuarios</t>
  </si>
  <si>
    <t>Autenticación e inicio de sesión</t>
  </si>
  <si>
    <t>Gestión de horarios</t>
  </si>
  <si>
    <t>Registro de evaluaciones físicas, técnicas y antropométricas</t>
  </si>
  <si>
    <t>Implementación del módulo de evaluaciones</t>
  </si>
  <si>
    <t>Implementación del módulo de gestión de usuarios</t>
  </si>
  <si>
    <t>Implementación del módulo de asistencias, horarios y pagos</t>
  </si>
  <si>
    <t>Desarrollo del modulo para asistencias, horarios y pagos</t>
  </si>
  <si>
    <t>Desarrollo del modulo  para gestión de usuarios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</si>
</sst>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5" borderId="1" xfId="0" applyFont="1" applyFill="1" applyBorder="1"/>
    <xf numFmtId="0" fontId="0" fillId="3" borderId="0" xfId="0" applyFill="1"/>
    <xf numFmtId="0" fontId="3" fillId="0" borderId="0" xfId="0" applyFont="1"/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4"/>
  <sheetViews>
    <sheetView topLeftCell="A6" zoomScale="85" zoomScaleNormal="85" workbookViewId="0">
      <selection activeCell="C6" sqref="C6"/>
    </sheetView>
  </sheetViews>
  <sheetFormatPr baseColWidth="10" defaultColWidth="9.140625" defaultRowHeight="15" x14ac:dyDescent="0.25"/>
  <cols>
    <col min="2" max="2" width="7.28515625" bestFit="1" customWidth="1"/>
    <col min="3" max="3" width="33.7109375" customWidth="1"/>
    <col min="4" max="4" width="31.28515625" customWidth="1"/>
    <col min="5" max="5" width="39.85546875" customWidth="1"/>
    <col min="6" max="6" width="20.85546875" customWidth="1"/>
    <col min="7" max="7" width="10.5703125" bestFit="1" customWidth="1"/>
    <col min="8" max="8" width="10.28515625" bestFit="1" customWidth="1"/>
    <col min="9" max="9" width="10.5703125" bestFit="1" customWidth="1"/>
  </cols>
  <sheetData>
    <row r="2" spans="2:10" ht="15" customHeight="1" x14ac:dyDescent="0.25">
      <c r="B2" s="15" t="s">
        <v>27</v>
      </c>
      <c r="C2" s="16"/>
      <c r="D2" s="16"/>
      <c r="E2" s="16"/>
      <c r="F2" s="16"/>
      <c r="G2" s="16"/>
      <c r="H2" s="16"/>
      <c r="I2" s="16"/>
      <c r="J2" s="17"/>
    </row>
    <row r="3" spans="2:10" ht="31.5" x14ac:dyDescent="0.25">
      <c r="B3" s="2" t="s">
        <v>0</v>
      </c>
      <c r="C3" s="2" t="s">
        <v>1</v>
      </c>
      <c r="D3" s="2" t="s">
        <v>2</v>
      </c>
      <c r="E3" s="2" t="s">
        <v>3</v>
      </c>
      <c r="F3" s="2" t="s">
        <v>46</v>
      </c>
      <c r="G3" s="2" t="s">
        <v>4</v>
      </c>
      <c r="H3" s="2" t="s">
        <v>5</v>
      </c>
      <c r="I3" s="2" t="s">
        <v>42</v>
      </c>
      <c r="J3" s="2" t="s">
        <v>6</v>
      </c>
    </row>
    <row r="4" spans="2:10" ht="121.5" customHeight="1" x14ac:dyDescent="0.25">
      <c r="B4" s="3" t="s">
        <v>7</v>
      </c>
      <c r="C4" s="3" t="s">
        <v>62</v>
      </c>
      <c r="D4" s="3" t="s">
        <v>63</v>
      </c>
      <c r="E4" s="3" t="s">
        <v>64</v>
      </c>
      <c r="F4" s="3" t="s">
        <v>47</v>
      </c>
      <c r="G4" s="3" t="s">
        <v>8</v>
      </c>
      <c r="H4" s="3" t="s">
        <v>9</v>
      </c>
      <c r="I4" s="3">
        <v>5</v>
      </c>
      <c r="J4" s="3" t="s">
        <v>10</v>
      </c>
    </row>
    <row r="5" spans="2:10" ht="78.75" x14ac:dyDescent="0.25">
      <c r="B5" s="1" t="s">
        <v>11</v>
      </c>
      <c r="C5" s="1" t="s">
        <v>65</v>
      </c>
      <c r="D5" s="1" t="s">
        <v>66</v>
      </c>
      <c r="E5" s="1" t="s">
        <v>67</v>
      </c>
      <c r="F5" s="1" t="s">
        <v>68</v>
      </c>
      <c r="G5" s="1" t="s">
        <v>8</v>
      </c>
      <c r="H5" s="1" t="s">
        <v>9</v>
      </c>
      <c r="I5" s="1">
        <v>3</v>
      </c>
      <c r="J5" s="1" t="s">
        <v>10</v>
      </c>
    </row>
    <row r="6" spans="2:10" ht="109.5" customHeight="1" x14ac:dyDescent="0.25">
      <c r="B6" s="3" t="s">
        <v>12</v>
      </c>
      <c r="C6" s="3" t="s">
        <v>69</v>
      </c>
      <c r="D6" s="3" t="s">
        <v>70</v>
      </c>
      <c r="E6" s="3" t="s">
        <v>71</v>
      </c>
      <c r="F6" s="3" t="s">
        <v>48</v>
      </c>
      <c r="G6" s="3" t="s">
        <v>8</v>
      </c>
      <c r="H6" s="3" t="s">
        <v>9</v>
      </c>
      <c r="I6" s="3">
        <v>5</v>
      </c>
      <c r="J6" s="3" t="s">
        <v>14</v>
      </c>
    </row>
    <row r="7" spans="2:10" ht="135" customHeight="1" x14ac:dyDescent="0.25">
      <c r="B7" s="1" t="s">
        <v>15</v>
      </c>
      <c r="C7" s="1" t="s">
        <v>72</v>
      </c>
      <c r="D7" s="1" t="s">
        <v>73</v>
      </c>
      <c r="E7" s="1" t="s">
        <v>74</v>
      </c>
      <c r="F7" s="1" t="s">
        <v>75</v>
      </c>
      <c r="G7" s="1" t="s">
        <v>8</v>
      </c>
      <c r="H7" s="1" t="s">
        <v>9</v>
      </c>
      <c r="I7" s="1">
        <v>4</v>
      </c>
      <c r="J7" s="1" t="s">
        <v>14</v>
      </c>
    </row>
    <row r="8" spans="2:10" ht="114.75" customHeight="1" x14ac:dyDescent="0.25">
      <c r="B8" s="3" t="s">
        <v>17</v>
      </c>
      <c r="C8" s="3" t="s">
        <v>76</v>
      </c>
      <c r="D8" s="3" t="s">
        <v>77</v>
      </c>
      <c r="E8" s="3" t="s">
        <v>78</v>
      </c>
      <c r="F8" s="3" t="s">
        <v>79</v>
      </c>
      <c r="G8" s="3" t="s">
        <v>8</v>
      </c>
      <c r="H8" s="3" t="s">
        <v>9</v>
      </c>
      <c r="I8" s="3">
        <v>5</v>
      </c>
      <c r="J8" s="3" t="s">
        <v>14</v>
      </c>
    </row>
    <row r="9" spans="2:10" ht="111.75" customHeight="1" x14ac:dyDescent="0.25">
      <c r="B9" s="1" t="s">
        <v>19</v>
      </c>
      <c r="C9" s="1" t="s">
        <v>80</v>
      </c>
      <c r="D9" s="1" t="s">
        <v>81</v>
      </c>
      <c r="E9" s="1" t="s">
        <v>82</v>
      </c>
      <c r="F9" s="1" t="s">
        <v>87</v>
      </c>
      <c r="G9" s="1" t="s">
        <v>20</v>
      </c>
      <c r="H9" s="1" t="s">
        <v>9</v>
      </c>
      <c r="I9" s="1">
        <v>5</v>
      </c>
      <c r="J9" s="1" t="s">
        <v>18</v>
      </c>
    </row>
    <row r="10" spans="2:10" ht="112.5" customHeight="1" x14ac:dyDescent="0.25">
      <c r="B10" s="3" t="s">
        <v>22</v>
      </c>
      <c r="C10" s="3" t="s">
        <v>83</v>
      </c>
      <c r="D10" s="3" t="s">
        <v>84</v>
      </c>
      <c r="E10" s="3" t="s">
        <v>85</v>
      </c>
      <c r="F10" s="3" t="s">
        <v>86</v>
      </c>
      <c r="G10" s="3" t="s">
        <v>20</v>
      </c>
      <c r="H10" s="3" t="s">
        <v>9</v>
      </c>
      <c r="I10" s="3">
        <v>4</v>
      </c>
      <c r="J10" s="3" t="s">
        <v>21</v>
      </c>
    </row>
    <row r="11" spans="2:10" ht="120.75" customHeight="1" x14ac:dyDescent="0.25">
      <c r="B11" s="1" t="s">
        <v>24</v>
      </c>
      <c r="C11" s="1" t="s">
        <v>88</v>
      </c>
      <c r="D11" s="1" t="s">
        <v>89</v>
      </c>
      <c r="E11" s="1" t="s">
        <v>90</v>
      </c>
      <c r="F11" s="1" t="s">
        <v>91</v>
      </c>
      <c r="G11" s="1" t="s">
        <v>8</v>
      </c>
      <c r="H11" s="1" t="s">
        <v>9</v>
      </c>
      <c r="I11" s="1">
        <v>6</v>
      </c>
      <c r="J11" s="1" t="s">
        <v>21</v>
      </c>
    </row>
    <row r="12" spans="2:10" ht="120.75" customHeight="1" x14ac:dyDescent="0.25">
      <c r="B12" s="3" t="s">
        <v>26</v>
      </c>
      <c r="C12" s="3" t="s">
        <v>95</v>
      </c>
      <c r="D12" s="3" t="s">
        <v>96</v>
      </c>
      <c r="E12" s="3" t="s">
        <v>97</v>
      </c>
      <c r="F12" s="3" t="s">
        <v>98</v>
      </c>
      <c r="G12" s="3" t="s">
        <v>20</v>
      </c>
      <c r="H12" s="3" t="s">
        <v>9</v>
      </c>
      <c r="I12" s="3">
        <v>3</v>
      </c>
      <c r="J12" s="3" t="s">
        <v>25</v>
      </c>
    </row>
    <row r="13" spans="2:10" s="6" customFormat="1" ht="104.25" customHeight="1" x14ac:dyDescent="0.25">
      <c r="B13" s="1" t="s">
        <v>99</v>
      </c>
      <c r="C13" s="1" t="s">
        <v>92</v>
      </c>
      <c r="D13" s="1" t="s">
        <v>93</v>
      </c>
      <c r="E13" s="1" t="s">
        <v>94</v>
      </c>
      <c r="F13" s="1" t="s">
        <v>100</v>
      </c>
      <c r="G13" s="1" t="s">
        <v>20</v>
      </c>
      <c r="H13" s="1" t="s">
        <v>9</v>
      </c>
      <c r="I13" s="1">
        <v>4</v>
      </c>
      <c r="J13" s="1" t="s">
        <v>25</v>
      </c>
    </row>
    <row r="14" spans="2:10" ht="15.75" x14ac:dyDescent="0.25">
      <c r="B14" s="18" t="s">
        <v>49</v>
      </c>
      <c r="C14" s="18"/>
      <c r="D14" s="18"/>
      <c r="E14" s="18"/>
      <c r="F14" s="18"/>
      <c r="G14" s="18"/>
      <c r="H14" s="18"/>
      <c r="I14" s="18">
        <f>SUM(I4:I13)</f>
        <v>44</v>
      </c>
      <c r="J14" s="18"/>
    </row>
  </sheetData>
  <mergeCells count="3">
    <mergeCell ref="B2:J2"/>
    <mergeCell ref="B14:H14"/>
    <mergeCell ref="I14:J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1C55F-6DE7-447A-B48E-51FCAB3B4B90}">
  <dimension ref="B2:J19"/>
  <sheetViews>
    <sheetView topLeftCell="A5" zoomScaleNormal="100" workbookViewId="0">
      <selection activeCell="C9" sqref="C9"/>
    </sheetView>
  </sheetViews>
  <sheetFormatPr baseColWidth="10" defaultRowHeight="15" x14ac:dyDescent="0.25"/>
  <cols>
    <col min="2" max="2" width="7" bestFit="1" customWidth="1"/>
    <col min="3" max="3" width="23.85546875" customWidth="1"/>
    <col min="4" max="4" width="17.28515625" customWidth="1"/>
    <col min="5" max="5" width="24.85546875" customWidth="1"/>
    <col min="6" max="6" width="28.28515625" bestFit="1" customWidth="1"/>
    <col min="7" max="8" width="9.42578125" bestFit="1" customWidth="1"/>
  </cols>
  <sheetData>
    <row r="2" spans="2:10" ht="15.75" x14ac:dyDescent="0.25">
      <c r="B2" s="9" t="s">
        <v>40</v>
      </c>
      <c r="C2" s="10"/>
      <c r="D2" s="10"/>
      <c r="E2" s="10"/>
      <c r="F2" s="10"/>
      <c r="G2" s="10"/>
      <c r="H2" s="10"/>
      <c r="I2" s="10"/>
      <c r="J2" s="11"/>
    </row>
    <row r="3" spans="2:10" ht="31.5" x14ac:dyDescent="0.25">
      <c r="B3" s="7" t="s">
        <v>0</v>
      </c>
      <c r="C3" s="7" t="s">
        <v>101</v>
      </c>
      <c r="D3" s="7" t="s">
        <v>2</v>
      </c>
      <c r="E3" s="7" t="s">
        <v>102</v>
      </c>
      <c r="F3" s="7" t="s">
        <v>103</v>
      </c>
      <c r="G3" s="7" t="s">
        <v>4</v>
      </c>
      <c r="H3" s="7" t="s">
        <v>5</v>
      </c>
      <c r="I3" s="7" t="s">
        <v>42</v>
      </c>
      <c r="J3" s="7" t="s">
        <v>6</v>
      </c>
    </row>
    <row r="4" spans="2:10" ht="204.75" x14ac:dyDescent="0.25">
      <c r="B4" s="8" t="s">
        <v>28</v>
      </c>
      <c r="C4" s="8" t="s">
        <v>53</v>
      </c>
      <c r="D4" s="8" t="s">
        <v>104</v>
      </c>
      <c r="E4" s="8" t="s">
        <v>105</v>
      </c>
      <c r="F4" s="8" t="s">
        <v>106</v>
      </c>
      <c r="G4" s="8" t="s">
        <v>8</v>
      </c>
      <c r="H4" s="8" t="s">
        <v>9</v>
      </c>
      <c r="I4" s="8">
        <v>3</v>
      </c>
      <c r="J4" s="8" t="s">
        <v>29</v>
      </c>
    </row>
    <row r="5" spans="2:10" ht="126" x14ac:dyDescent="0.25">
      <c r="B5" s="8" t="s">
        <v>30</v>
      </c>
      <c r="C5" s="8" t="s">
        <v>107</v>
      </c>
      <c r="D5" s="8" t="s">
        <v>108</v>
      </c>
      <c r="E5" s="8" t="s">
        <v>109</v>
      </c>
      <c r="F5" s="8" t="s">
        <v>68</v>
      </c>
      <c r="G5" s="8" t="s">
        <v>8</v>
      </c>
      <c r="H5" s="8" t="s">
        <v>9</v>
      </c>
      <c r="I5" s="8">
        <v>3</v>
      </c>
      <c r="J5" s="8" t="s">
        <v>10</v>
      </c>
    </row>
    <row r="6" spans="2:10" ht="126" x14ac:dyDescent="0.25">
      <c r="B6" s="8" t="s">
        <v>31</v>
      </c>
      <c r="C6" s="8" t="s">
        <v>159</v>
      </c>
      <c r="D6" s="8" t="s">
        <v>110</v>
      </c>
      <c r="E6" s="8" t="s">
        <v>111</v>
      </c>
      <c r="F6" s="8" t="s">
        <v>47</v>
      </c>
      <c r="G6" s="8" t="s">
        <v>8</v>
      </c>
      <c r="H6" s="8" t="s">
        <v>9</v>
      </c>
      <c r="I6" s="8">
        <v>3</v>
      </c>
      <c r="J6" s="8" t="s">
        <v>10</v>
      </c>
    </row>
    <row r="7" spans="2:10" ht="94.5" x14ac:dyDescent="0.25">
      <c r="B7" s="8" t="s">
        <v>32</v>
      </c>
      <c r="C7" s="8" t="s">
        <v>112</v>
      </c>
      <c r="D7" s="8" t="s">
        <v>113</v>
      </c>
      <c r="E7" s="8" t="s">
        <v>114</v>
      </c>
      <c r="F7" s="8" t="s">
        <v>47</v>
      </c>
      <c r="G7" s="8" t="s">
        <v>8</v>
      </c>
      <c r="H7" s="8" t="s">
        <v>9</v>
      </c>
      <c r="I7" s="8">
        <v>3</v>
      </c>
      <c r="J7" s="8" t="s">
        <v>10</v>
      </c>
    </row>
    <row r="8" spans="2:10" ht="110.25" x14ac:dyDescent="0.25">
      <c r="B8" s="8" t="s">
        <v>33</v>
      </c>
      <c r="C8" s="8" t="s">
        <v>160</v>
      </c>
      <c r="D8" s="8" t="s">
        <v>115</v>
      </c>
      <c r="E8" s="8" t="s">
        <v>116</v>
      </c>
      <c r="F8" s="8" t="s">
        <v>117</v>
      </c>
      <c r="G8" s="8" t="s">
        <v>8</v>
      </c>
      <c r="H8" s="8" t="s">
        <v>9</v>
      </c>
      <c r="I8" s="8">
        <v>4</v>
      </c>
      <c r="J8" s="8" t="s">
        <v>14</v>
      </c>
    </row>
    <row r="9" spans="2:10" ht="110.25" x14ac:dyDescent="0.25">
      <c r="B9" s="8" t="s">
        <v>34</v>
      </c>
      <c r="C9" s="8" t="s">
        <v>118</v>
      </c>
      <c r="D9" s="8" t="s">
        <v>119</v>
      </c>
      <c r="E9" s="8" t="s">
        <v>120</v>
      </c>
      <c r="F9" s="8" t="s">
        <v>121</v>
      </c>
      <c r="G9" s="8" t="s">
        <v>8</v>
      </c>
      <c r="H9" s="8" t="s">
        <v>9</v>
      </c>
      <c r="I9" s="8">
        <v>5</v>
      </c>
      <c r="J9" s="8" t="s">
        <v>14</v>
      </c>
    </row>
    <row r="10" spans="2:10" ht="126" x14ac:dyDescent="0.25">
      <c r="B10" s="8" t="s">
        <v>35</v>
      </c>
      <c r="C10" s="8" t="s">
        <v>122</v>
      </c>
      <c r="D10" s="8" t="s">
        <v>123</v>
      </c>
      <c r="E10" s="8" t="s">
        <v>124</v>
      </c>
      <c r="F10" s="8" t="s">
        <v>87</v>
      </c>
      <c r="G10" s="8" t="s">
        <v>8</v>
      </c>
      <c r="H10" s="8" t="s">
        <v>9</v>
      </c>
      <c r="I10" s="8">
        <v>5</v>
      </c>
      <c r="J10" s="8" t="s">
        <v>18</v>
      </c>
    </row>
    <row r="11" spans="2:10" ht="94.5" x14ac:dyDescent="0.25">
      <c r="B11" s="8" t="s">
        <v>36</v>
      </c>
      <c r="C11" s="8" t="s">
        <v>57</v>
      </c>
      <c r="D11" s="8" t="s">
        <v>125</v>
      </c>
      <c r="E11" s="8" t="s">
        <v>126</v>
      </c>
      <c r="F11" s="8" t="s">
        <v>106</v>
      </c>
      <c r="G11" s="8" t="s">
        <v>8</v>
      </c>
      <c r="H11" s="8" t="s">
        <v>9</v>
      </c>
      <c r="I11" s="8">
        <v>4</v>
      </c>
      <c r="J11" s="8" t="s">
        <v>18</v>
      </c>
    </row>
    <row r="12" spans="2:10" ht="141.75" x14ac:dyDescent="0.25">
      <c r="B12" s="8" t="s">
        <v>37</v>
      </c>
      <c r="C12" s="8" t="s">
        <v>127</v>
      </c>
      <c r="D12" s="8" t="s">
        <v>128</v>
      </c>
      <c r="E12" s="8" t="s">
        <v>129</v>
      </c>
      <c r="F12" s="8" t="s">
        <v>130</v>
      </c>
      <c r="G12" s="8" t="s">
        <v>8</v>
      </c>
      <c r="H12" s="8" t="s">
        <v>9</v>
      </c>
      <c r="I12" s="8">
        <v>6</v>
      </c>
      <c r="J12" s="8" t="s">
        <v>18</v>
      </c>
    </row>
    <row r="13" spans="2:10" ht="157.5" x14ac:dyDescent="0.25">
      <c r="B13" s="8" t="s">
        <v>38</v>
      </c>
      <c r="C13" s="8" t="s">
        <v>131</v>
      </c>
      <c r="D13" s="8" t="s">
        <v>132</v>
      </c>
      <c r="E13" s="8" t="s">
        <v>133</v>
      </c>
      <c r="F13" s="8" t="s">
        <v>86</v>
      </c>
      <c r="G13" s="8" t="s">
        <v>8</v>
      </c>
      <c r="H13" s="8" t="s">
        <v>9</v>
      </c>
      <c r="I13" s="8">
        <v>4</v>
      </c>
      <c r="J13" s="8" t="s">
        <v>21</v>
      </c>
    </row>
    <row r="14" spans="2:10" ht="126" x14ac:dyDescent="0.25">
      <c r="B14" s="8" t="s">
        <v>134</v>
      </c>
      <c r="C14" s="8" t="s">
        <v>135</v>
      </c>
      <c r="D14" s="8" t="s">
        <v>136</v>
      </c>
      <c r="E14" s="8" t="s">
        <v>137</v>
      </c>
      <c r="F14" s="8" t="s">
        <v>91</v>
      </c>
      <c r="G14" s="8" t="s">
        <v>8</v>
      </c>
      <c r="H14" s="8" t="s">
        <v>9</v>
      </c>
      <c r="I14" s="8">
        <v>5</v>
      </c>
      <c r="J14" s="8" t="s">
        <v>21</v>
      </c>
    </row>
    <row r="15" spans="2:10" ht="126" x14ac:dyDescent="0.25">
      <c r="B15" s="8" t="s">
        <v>138</v>
      </c>
      <c r="C15" s="8" t="s">
        <v>139</v>
      </c>
      <c r="D15" s="8" t="s">
        <v>140</v>
      </c>
      <c r="E15" s="8" t="s">
        <v>141</v>
      </c>
      <c r="F15" s="8" t="s">
        <v>100</v>
      </c>
      <c r="G15" s="8" t="s">
        <v>20</v>
      </c>
      <c r="H15" s="8" t="s">
        <v>9</v>
      </c>
      <c r="I15" s="8">
        <v>4</v>
      </c>
      <c r="J15" s="8" t="s">
        <v>21</v>
      </c>
    </row>
    <row r="16" spans="2:10" ht="110.25" x14ac:dyDescent="0.25">
      <c r="B16" s="8" t="s">
        <v>142</v>
      </c>
      <c r="C16" s="8" t="s">
        <v>143</v>
      </c>
      <c r="D16" s="8" t="s">
        <v>144</v>
      </c>
      <c r="E16" s="8" t="s">
        <v>145</v>
      </c>
      <c r="F16" s="8" t="s">
        <v>98</v>
      </c>
      <c r="G16" s="8" t="s">
        <v>20</v>
      </c>
      <c r="H16" s="8" t="s">
        <v>9</v>
      </c>
      <c r="I16" s="8">
        <v>3</v>
      </c>
      <c r="J16" s="8" t="s">
        <v>25</v>
      </c>
    </row>
    <row r="17" spans="2:10" ht="110.25" x14ac:dyDescent="0.25">
      <c r="B17" s="8" t="s">
        <v>146</v>
      </c>
      <c r="C17" s="8" t="s">
        <v>147</v>
      </c>
      <c r="D17" s="8" t="s">
        <v>148</v>
      </c>
      <c r="E17" s="8" t="s">
        <v>149</v>
      </c>
      <c r="F17" s="8" t="s">
        <v>106</v>
      </c>
      <c r="G17" s="8" t="s">
        <v>8</v>
      </c>
      <c r="H17" s="8" t="s">
        <v>9</v>
      </c>
      <c r="I17" s="8">
        <v>5</v>
      </c>
      <c r="J17" s="8" t="s">
        <v>25</v>
      </c>
    </row>
    <row r="18" spans="2:10" ht="126" x14ac:dyDescent="0.25">
      <c r="B18" s="8" t="s">
        <v>150</v>
      </c>
      <c r="C18" s="8" t="s">
        <v>151</v>
      </c>
      <c r="D18" s="8" t="s">
        <v>152</v>
      </c>
      <c r="E18" s="8" t="s">
        <v>153</v>
      </c>
      <c r="F18" s="8" t="s">
        <v>106</v>
      </c>
      <c r="G18" s="8" t="s">
        <v>8</v>
      </c>
      <c r="H18" s="8" t="s">
        <v>9</v>
      </c>
      <c r="I18" s="8">
        <v>4</v>
      </c>
      <c r="J18" s="8" t="s">
        <v>39</v>
      </c>
    </row>
    <row r="19" spans="2:10" ht="15.75" x14ac:dyDescent="0.25">
      <c r="B19" s="12" t="s">
        <v>61</v>
      </c>
      <c r="C19" s="13"/>
      <c r="D19" s="13"/>
      <c r="E19" s="13"/>
      <c r="F19" s="13"/>
      <c r="G19" s="13"/>
      <c r="H19" s="14"/>
      <c r="I19" s="4">
        <f>SUM(I4:I18)</f>
        <v>61</v>
      </c>
      <c r="J19" s="4"/>
    </row>
  </sheetData>
  <mergeCells count="2">
    <mergeCell ref="B2:J2"/>
    <mergeCell ref="B19:H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77E5-3BF5-4796-9029-25C2AC937F52}">
  <dimension ref="B2:L23"/>
  <sheetViews>
    <sheetView tabSelected="1" topLeftCell="A15" zoomScale="85" zoomScaleNormal="85" workbookViewId="0">
      <selection activeCell="F20" sqref="F20"/>
    </sheetView>
  </sheetViews>
  <sheetFormatPr baseColWidth="10" defaultRowHeight="15" x14ac:dyDescent="0.25"/>
  <cols>
    <col min="2" max="2" width="11.42578125" customWidth="1"/>
    <col min="3" max="3" width="21" bestFit="1" customWidth="1"/>
    <col min="4" max="4" width="27" customWidth="1"/>
    <col min="5" max="5" width="14.42578125" customWidth="1"/>
  </cols>
  <sheetData>
    <row r="2" spans="2:12" ht="15.75" x14ac:dyDescent="0.25">
      <c r="B2" s="19" t="s">
        <v>45</v>
      </c>
      <c r="C2" s="19"/>
      <c r="D2" s="19"/>
      <c r="E2" s="19"/>
      <c r="F2" s="19"/>
      <c r="G2" s="19"/>
      <c r="H2" s="19"/>
      <c r="I2" s="19"/>
    </row>
    <row r="3" spans="2:12" ht="31.5" x14ac:dyDescent="0.25">
      <c r="B3" s="7" t="s">
        <v>6</v>
      </c>
      <c r="C3" s="7" t="s">
        <v>50</v>
      </c>
      <c r="D3" s="7" t="s">
        <v>0</v>
      </c>
      <c r="E3" s="7" t="s">
        <v>51</v>
      </c>
      <c r="F3" s="7" t="s">
        <v>41</v>
      </c>
      <c r="G3" s="7" t="s">
        <v>4</v>
      </c>
      <c r="H3" s="7" t="s">
        <v>5</v>
      </c>
      <c r="I3" s="7" t="s">
        <v>42</v>
      </c>
    </row>
    <row r="4" spans="2:12" ht="47.25" x14ac:dyDescent="0.25">
      <c r="B4" s="8" t="s">
        <v>29</v>
      </c>
      <c r="C4" s="8" t="s">
        <v>52</v>
      </c>
      <c r="D4" s="8" t="s">
        <v>28</v>
      </c>
      <c r="E4" s="8" t="s">
        <v>53</v>
      </c>
      <c r="F4" s="8" t="s">
        <v>43</v>
      </c>
      <c r="G4" s="8" t="s">
        <v>8</v>
      </c>
      <c r="H4" s="8" t="s">
        <v>9</v>
      </c>
      <c r="I4" s="8">
        <v>3</v>
      </c>
    </row>
    <row r="5" spans="2:12" ht="47.25" x14ac:dyDescent="0.25">
      <c r="B5" s="8" t="s">
        <v>10</v>
      </c>
      <c r="C5" s="8" t="s">
        <v>54</v>
      </c>
      <c r="D5" s="8" t="s">
        <v>7</v>
      </c>
      <c r="E5" s="8" t="s">
        <v>154</v>
      </c>
      <c r="F5" s="8" t="s">
        <v>44</v>
      </c>
      <c r="G5" s="8" t="s">
        <v>8</v>
      </c>
      <c r="H5" s="8" t="s">
        <v>9</v>
      </c>
      <c r="I5" s="8">
        <v>5</v>
      </c>
    </row>
    <row r="6" spans="2:12" ht="47.25" x14ac:dyDescent="0.25">
      <c r="B6" s="8" t="s">
        <v>10</v>
      </c>
      <c r="C6" s="8" t="s">
        <v>54</v>
      </c>
      <c r="D6" s="8" t="s">
        <v>11</v>
      </c>
      <c r="E6" s="8" t="s">
        <v>155</v>
      </c>
      <c r="F6" s="8" t="s">
        <v>44</v>
      </c>
      <c r="G6" s="8" t="s">
        <v>8</v>
      </c>
      <c r="H6" s="8" t="s">
        <v>9</v>
      </c>
      <c r="I6" s="8">
        <v>3</v>
      </c>
    </row>
    <row r="7" spans="2:12" ht="47.25" x14ac:dyDescent="0.25">
      <c r="B7" s="8" t="s">
        <v>10</v>
      </c>
      <c r="C7" s="8" t="s">
        <v>54</v>
      </c>
      <c r="D7" s="8" t="s">
        <v>30</v>
      </c>
      <c r="E7" s="8" t="s">
        <v>107</v>
      </c>
      <c r="F7" s="8" t="s">
        <v>43</v>
      </c>
      <c r="G7" s="8" t="s">
        <v>8</v>
      </c>
      <c r="H7" s="8" t="s">
        <v>9</v>
      </c>
      <c r="I7" s="8">
        <v>3</v>
      </c>
    </row>
    <row r="8" spans="2:12" ht="63" x14ac:dyDescent="0.25">
      <c r="B8" s="8" t="s">
        <v>10</v>
      </c>
      <c r="C8" s="8" t="s">
        <v>54</v>
      </c>
      <c r="D8" s="8" t="s">
        <v>31</v>
      </c>
      <c r="E8" s="8" t="s">
        <v>162</v>
      </c>
      <c r="F8" s="8" t="s">
        <v>43</v>
      </c>
      <c r="G8" s="8" t="s">
        <v>8</v>
      </c>
      <c r="H8" s="8" t="s">
        <v>9</v>
      </c>
      <c r="I8" s="8">
        <v>3</v>
      </c>
    </row>
    <row r="9" spans="2:12" ht="47.25" x14ac:dyDescent="0.25">
      <c r="B9" s="8" t="s">
        <v>10</v>
      </c>
      <c r="C9" s="8" t="s">
        <v>54</v>
      </c>
      <c r="D9" s="8" t="s">
        <v>32</v>
      </c>
      <c r="E9" s="8" t="s">
        <v>112</v>
      </c>
      <c r="F9" s="8" t="s">
        <v>43</v>
      </c>
      <c r="G9" s="8" t="s">
        <v>8</v>
      </c>
      <c r="H9" s="8" t="s">
        <v>9</v>
      </c>
      <c r="I9" s="8">
        <v>3</v>
      </c>
      <c r="L9" s="5"/>
    </row>
    <row r="10" spans="2:12" ht="31.5" x14ac:dyDescent="0.25">
      <c r="B10" s="8" t="s">
        <v>14</v>
      </c>
      <c r="C10" s="8" t="s">
        <v>55</v>
      </c>
      <c r="D10" s="8" t="s">
        <v>12</v>
      </c>
      <c r="E10" s="8" t="s">
        <v>13</v>
      </c>
      <c r="F10" s="8" t="s">
        <v>44</v>
      </c>
      <c r="G10" s="8" t="s">
        <v>8</v>
      </c>
      <c r="H10" s="8" t="s">
        <v>9</v>
      </c>
      <c r="I10" s="8">
        <v>5</v>
      </c>
    </row>
    <row r="11" spans="2:12" ht="31.5" x14ac:dyDescent="0.25">
      <c r="B11" s="8" t="s">
        <v>14</v>
      </c>
      <c r="C11" s="8" t="s">
        <v>55</v>
      </c>
      <c r="D11" s="8" t="s">
        <v>15</v>
      </c>
      <c r="E11" s="8" t="s">
        <v>156</v>
      </c>
      <c r="F11" s="8" t="s">
        <v>44</v>
      </c>
      <c r="G11" s="8" t="s">
        <v>8</v>
      </c>
      <c r="H11" s="8" t="s">
        <v>9</v>
      </c>
      <c r="I11" s="8">
        <v>4</v>
      </c>
    </row>
    <row r="12" spans="2:12" ht="31.5" x14ac:dyDescent="0.25">
      <c r="B12" s="8" t="s">
        <v>14</v>
      </c>
      <c r="C12" s="8" t="s">
        <v>55</v>
      </c>
      <c r="D12" s="8" t="s">
        <v>17</v>
      </c>
      <c r="E12" s="8" t="s">
        <v>16</v>
      </c>
      <c r="F12" s="8" t="s">
        <v>44</v>
      </c>
      <c r="G12" s="8" t="s">
        <v>8</v>
      </c>
      <c r="H12" s="8" t="s">
        <v>9</v>
      </c>
      <c r="I12" s="8">
        <v>5</v>
      </c>
    </row>
    <row r="13" spans="2:12" ht="78.75" x14ac:dyDescent="0.25">
      <c r="B13" s="8" t="s">
        <v>14</v>
      </c>
      <c r="C13" s="8" t="s">
        <v>55</v>
      </c>
      <c r="D13" s="8" t="s">
        <v>33</v>
      </c>
      <c r="E13" s="8" t="s">
        <v>161</v>
      </c>
      <c r="F13" s="8" t="s">
        <v>43</v>
      </c>
      <c r="G13" s="8" t="s">
        <v>8</v>
      </c>
      <c r="H13" s="8" t="s">
        <v>9</v>
      </c>
      <c r="I13" s="8">
        <v>4</v>
      </c>
    </row>
    <row r="14" spans="2:12" ht="47.25" x14ac:dyDescent="0.25">
      <c r="B14" s="8" t="s">
        <v>14</v>
      </c>
      <c r="C14" s="8" t="s">
        <v>55</v>
      </c>
      <c r="D14" s="8" t="s">
        <v>34</v>
      </c>
      <c r="E14" s="8" t="s">
        <v>118</v>
      </c>
      <c r="F14" s="8" t="s">
        <v>43</v>
      </c>
      <c r="G14" s="8" t="s">
        <v>8</v>
      </c>
      <c r="H14" s="8" t="s">
        <v>9</v>
      </c>
      <c r="I14" s="8">
        <v>5</v>
      </c>
    </row>
    <row r="15" spans="2:12" ht="94.5" x14ac:dyDescent="0.25">
      <c r="B15" s="8" t="s">
        <v>18</v>
      </c>
      <c r="C15" s="8" t="s">
        <v>56</v>
      </c>
      <c r="D15" s="8" t="s">
        <v>19</v>
      </c>
      <c r="E15" s="8" t="s">
        <v>157</v>
      </c>
      <c r="F15" s="8" t="s">
        <v>44</v>
      </c>
      <c r="G15" s="8" t="s">
        <v>8</v>
      </c>
      <c r="H15" s="8" t="s">
        <v>9</v>
      </c>
      <c r="I15" s="8">
        <v>5</v>
      </c>
    </row>
    <row r="16" spans="2:12" ht="63" x14ac:dyDescent="0.25">
      <c r="B16" s="8" t="s">
        <v>18</v>
      </c>
      <c r="C16" s="8" t="s">
        <v>56</v>
      </c>
      <c r="D16" s="8" t="s">
        <v>35</v>
      </c>
      <c r="E16" s="8" t="s">
        <v>158</v>
      </c>
      <c r="F16" s="8" t="s">
        <v>43</v>
      </c>
      <c r="G16" s="8" t="s">
        <v>8</v>
      </c>
      <c r="H16" s="8" t="s">
        <v>9</v>
      </c>
      <c r="I16" s="8">
        <v>5</v>
      </c>
    </row>
    <row r="17" spans="2:9" ht="47.25" x14ac:dyDescent="0.25">
      <c r="B17" s="8" t="s">
        <v>18</v>
      </c>
      <c r="C17" s="8" t="s">
        <v>56</v>
      </c>
      <c r="D17" s="8" t="s">
        <v>36</v>
      </c>
      <c r="E17" s="8" t="s">
        <v>57</v>
      </c>
      <c r="F17" s="8" t="s">
        <v>43</v>
      </c>
      <c r="G17" s="8" t="s">
        <v>8</v>
      </c>
      <c r="H17" s="8" t="s">
        <v>9</v>
      </c>
      <c r="I17" s="8">
        <v>4</v>
      </c>
    </row>
    <row r="18" spans="2:9" ht="63" x14ac:dyDescent="0.25">
      <c r="B18" s="8" t="s">
        <v>18</v>
      </c>
      <c r="C18" s="8" t="s">
        <v>56</v>
      </c>
      <c r="D18" s="8" t="s">
        <v>37</v>
      </c>
      <c r="E18" s="8" t="s">
        <v>127</v>
      </c>
      <c r="F18" s="8" t="s">
        <v>43</v>
      </c>
      <c r="G18" s="8" t="s">
        <v>8</v>
      </c>
      <c r="H18" s="8" t="s">
        <v>9</v>
      </c>
      <c r="I18" s="8">
        <v>6</v>
      </c>
    </row>
    <row r="19" spans="2:9" ht="47.25" x14ac:dyDescent="0.25">
      <c r="B19" s="8" t="s">
        <v>21</v>
      </c>
      <c r="C19" s="8" t="s">
        <v>58</v>
      </c>
      <c r="D19" s="8" t="s">
        <v>22</v>
      </c>
      <c r="E19" s="8" t="s">
        <v>59</v>
      </c>
      <c r="F19" s="8" t="s">
        <v>44</v>
      </c>
      <c r="G19" s="8" t="s">
        <v>8</v>
      </c>
      <c r="H19" s="8" t="s">
        <v>9</v>
      </c>
      <c r="I19" s="8">
        <v>4</v>
      </c>
    </row>
    <row r="20" spans="2:9" ht="47.25" x14ac:dyDescent="0.25">
      <c r="B20" s="8" t="s">
        <v>21</v>
      </c>
      <c r="C20" s="8" t="s">
        <v>58</v>
      </c>
      <c r="D20" s="8" t="s">
        <v>24</v>
      </c>
      <c r="E20" s="8" t="s">
        <v>23</v>
      </c>
      <c r="F20" s="8" t="s">
        <v>44</v>
      </c>
      <c r="G20" s="8" t="s">
        <v>8</v>
      </c>
      <c r="H20" s="8" t="s">
        <v>9</v>
      </c>
      <c r="I20" s="8">
        <v>6</v>
      </c>
    </row>
    <row r="21" spans="2:9" ht="63" x14ac:dyDescent="0.25">
      <c r="B21" s="8" t="s">
        <v>21</v>
      </c>
      <c r="C21" s="8" t="s">
        <v>58</v>
      </c>
      <c r="D21" s="8" t="s">
        <v>38</v>
      </c>
      <c r="E21" s="8" t="s">
        <v>131</v>
      </c>
      <c r="F21" s="8" t="s">
        <v>43</v>
      </c>
      <c r="G21" s="8" t="s">
        <v>8</v>
      </c>
      <c r="H21" s="8" t="s">
        <v>9</v>
      </c>
      <c r="I21" s="8">
        <v>4</v>
      </c>
    </row>
    <row r="22" spans="2:9" ht="47.25" x14ac:dyDescent="0.25">
      <c r="B22" s="8" t="s">
        <v>21</v>
      </c>
      <c r="C22" s="8" t="s">
        <v>58</v>
      </c>
      <c r="D22" s="8" t="s">
        <v>134</v>
      </c>
      <c r="E22" s="8" t="s">
        <v>135</v>
      </c>
      <c r="F22" s="8" t="s">
        <v>43</v>
      </c>
      <c r="G22" s="8" t="s">
        <v>8</v>
      </c>
      <c r="H22" s="8" t="s">
        <v>9</v>
      </c>
      <c r="I22" s="8">
        <v>5</v>
      </c>
    </row>
    <row r="23" spans="2:9" ht="15.75" x14ac:dyDescent="0.25">
      <c r="B23" s="12" t="s">
        <v>60</v>
      </c>
      <c r="C23" s="13"/>
      <c r="D23" s="13"/>
      <c r="E23" s="13"/>
      <c r="F23" s="13"/>
      <c r="G23" s="13"/>
      <c r="H23" s="14"/>
      <c r="I23" s="4">
        <f>SUM(I4:I22)</f>
        <v>82</v>
      </c>
    </row>
  </sheetData>
  <mergeCells count="2">
    <mergeCell ref="B2:I2"/>
    <mergeCell ref="B23:H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Historias de Usuario</vt:lpstr>
      <vt:lpstr>HISTORIAS TÉCNICAS</vt:lpstr>
      <vt:lpstr>PRODUCT 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Stiven Apolo</dc:creator>
  <cp:lastModifiedBy>STIVEN ALEXANDER APOLO PARRA</cp:lastModifiedBy>
  <cp:lastPrinted>2026-04-14T14:17:48Z</cp:lastPrinted>
  <dcterms:created xsi:type="dcterms:W3CDTF">2015-06-05T18:19:34Z</dcterms:created>
  <dcterms:modified xsi:type="dcterms:W3CDTF">2026-04-20T19:12:14Z</dcterms:modified>
</cp:coreProperties>
</file>