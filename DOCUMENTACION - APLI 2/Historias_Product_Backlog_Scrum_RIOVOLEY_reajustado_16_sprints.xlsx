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iovoley\riovoley\DOCUMENTACION - APLI 2\"/>
    </mc:Choice>
  </mc:AlternateContent>
  <xr:revisionPtr revIDLastSave="0" documentId="13_ncr:1_{42E9EFB0-5457-4D4D-AA28-E4012A5788C5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Product Backlog (2)" sheetId="10" r:id="rId1"/>
    <sheet name="Resumen Scrum" sheetId="1" r:id="rId2"/>
    <sheet name="Plan por Sprint" sheetId="2" r:id="rId3"/>
    <sheet name="Historias de Usuario" sheetId="3" r:id="rId4"/>
    <sheet name="Historias Técnicas" sheetId="4" r:id="rId5"/>
    <sheet name="Product Backlog" sheetId="5" r:id="rId6"/>
    <sheet name="Trazabilidad Repos" sheetId="6" r:id="rId7"/>
    <sheet name="Octalysis" sheetId="7" r:id="rId8"/>
    <sheet name="DoR DoD" sheetId="8" r:id="rId9"/>
    <sheet name="Fuente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</calcChain>
</file>

<file path=xl/sharedStrings.xml><?xml version="1.0" encoding="utf-8"?>
<sst xmlns="http://schemas.openxmlformats.org/spreadsheetml/2006/main" count="2285" uniqueCount="684">
  <si>
    <t>RESUMEN SCRUM - RIOVOLEY</t>
  </si>
  <si>
    <t>Plan ajustado del 2 de marzo al 16 de junio, alineado a implementación web y avance móvil.</t>
  </si>
  <si>
    <t>Campo</t>
  </si>
  <si>
    <t>Detalle</t>
  </si>
  <si>
    <t>Indicador</t>
  </si>
  <si>
    <t>Valor</t>
  </si>
  <si>
    <t>Fórmula / criterio</t>
  </si>
  <si>
    <t>Uso</t>
  </si>
  <si>
    <t>Observación</t>
  </si>
  <si>
    <t>Product Goal</t>
  </si>
  <si>
    <t>Desarrollar y validar un sistema web y móvil para apoyar la gestión operativa y deportiva de Riovoley: usuarios, atletas, horarios, asistencias, pagos, pruebas físicas, anuncios, notificaciones y gamificación.</t>
  </si>
  <si>
    <t>Total PBIs</t>
  </si>
  <si>
    <t>Conteo de Product Backlog Items</t>
  </si>
  <si>
    <t>Seguimiento</t>
  </si>
  <si>
    <t>Incluye HU, HT, QA y documentación.</t>
  </si>
  <si>
    <t>Metodología</t>
  </si>
  <si>
    <t>Scrum con sprints semanales, Product Backlog priorizado, Sprint Goal por iteración y evidencias por incremento.</t>
  </si>
  <si>
    <t>PBIs implementados</t>
  </si>
  <si>
    <t>Estado Implementado</t>
  </si>
  <si>
    <t>Control avance</t>
  </si>
  <si>
    <t>Solo implementación confirmada o evidenciada.</t>
  </si>
  <si>
    <t>Periodo planificado</t>
  </si>
  <si>
    <t>02/03/2026 al 16/06/2026</t>
  </si>
  <si>
    <t>PBIs en progreso</t>
  </si>
  <si>
    <t>Estados en progreso</t>
  </si>
  <si>
    <t>Principalmente app móvil.</t>
  </si>
  <si>
    <t>Cantidad de sprints</t>
  </si>
  <si>
    <t>16 sprints semanales; el último sprint es corto por cierre el 16/06/2026.</t>
  </si>
  <si>
    <t>PBIs planificados</t>
  </si>
  <si>
    <t>Estado Planificado</t>
  </si>
  <si>
    <t>Pendientes</t>
  </si>
  <si>
    <t>Sprints futuros hasta junio.</t>
  </si>
  <si>
    <t>Product Owner</t>
  </si>
  <si>
    <t>Dennys Bonilla, CEO de Riovoley</t>
  </si>
  <si>
    <t>Puntos totales</t>
  </si>
  <si>
    <t>Suma de puntos</t>
  </si>
  <si>
    <t>Estimación</t>
  </si>
  <si>
    <t>Puntos Scrum relativos.</t>
  </si>
  <si>
    <t>Scrum Master</t>
  </si>
  <si>
    <t>Ing. Gisel Bastidas</t>
  </si>
  <si>
    <t>Sprints</t>
  </si>
  <si>
    <t>Conteo de sprints</t>
  </si>
  <si>
    <t>Planificación</t>
  </si>
  <si>
    <t>Del 2 de marzo al 16 de junio.</t>
  </si>
  <si>
    <t>Developers</t>
  </si>
  <si>
    <t>Arquitectura base</t>
  </si>
  <si>
    <t>Clean Lite por feature: separación por funcionalidades, componentes reutilizables, servicios de Supabase, hooks y utilidades.</t>
  </si>
  <si>
    <t>Repositorio web</t>
  </si>
  <si>
    <t>https://github.com/Joscoo/riovoley</t>
  </si>
  <si>
    <t>Repositorio móvil</t>
  </si>
  <si>
    <t>https://github.com/Joscoo/riovoley-mobile</t>
  </si>
  <si>
    <t>Decisión de ajuste</t>
  </si>
  <si>
    <t>La planificación inicia en Sprint 1 y la base técnica se trata como trabajo formal del primer incremento.</t>
  </si>
  <si>
    <t>Notificaciones</t>
  </si>
  <si>
    <t>Se separan notificaciones web y notificaciones móviles porque pertenecen a incrementos y tecnologías diferentes.</t>
  </si>
  <si>
    <t>Gamificación</t>
  </si>
  <si>
    <t>Se incorpora un sprint específico para aplicar Octalysis y diseñar XP, insignias, niveles, rachas y retos.</t>
  </si>
  <si>
    <t>PLAN POR SPRINT</t>
  </si>
  <si>
    <t>Sprints semanales desde el 02/03/2026 hasta el 16/06/2026.</t>
  </si>
  <si>
    <t>Sprint</t>
  </si>
  <si>
    <t>Inicio</t>
  </si>
  <si>
    <t>Fin</t>
  </si>
  <si>
    <t>Nombre del sprint</t>
  </si>
  <si>
    <t>Sprint Goal</t>
  </si>
  <si>
    <t>Incremento esperado</t>
  </si>
  <si>
    <t>PBIs principales</t>
  </si>
  <si>
    <t>Puntos</t>
  </si>
  <si>
    <t>Estado</t>
  </si>
  <si>
    <t>Arquitectura y procesos</t>
  </si>
  <si>
    <t>Definir arquitectura Clean Lite por feature, diagramas de procesos y base técnica inicial del sistema.</t>
  </si>
  <si>
    <t>Arquitectura del sistema, diagramas de autenticación/usuarios/asistencias/pagos/horarios, repositorio web preparado.</t>
  </si>
  <si>
    <t>HT-01, HT-02, HT-03, PBI-01, PBI-02, PBI-03</t>
  </si>
  <si>
    <t>Documentado / implementado</t>
  </si>
  <si>
    <t>Se mantiene como primer sprint formal de Scrum.</t>
  </si>
  <si>
    <t>Autenticación y roles web</t>
  </si>
  <si>
    <t>Habilitar acceso seguro por roles para administrador, entrenador y atleta/usuario.</t>
  </si>
  <si>
    <t>Login web, sesión, redirección por rol, cierre de sesión y control inicial de permisos.</t>
  </si>
  <si>
    <t>HU-01, HU-02, HT-04, HT-05</t>
  </si>
  <si>
    <t>Implementado</t>
  </si>
  <si>
    <t>Base para todos los módulos web.</t>
  </si>
  <si>
    <t>Gestión de usuarios y atletas</t>
  </si>
  <si>
    <t>Gestionar perfiles, roles y datos principales de atletas vinculados al club.</t>
  </si>
  <si>
    <t>CRUD de usuarios/atletas, validaciones, asignación de rol y organización de información.</t>
  </si>
  <si>
    <t>HU-03, HU-04, HT-06</t>
  </si>
  <si>
    <t>Alineado con panel administrador.</t>
  </si>
  <si>
    <t>Horarios y asistencias web</t>
  </si>
  <si>
    <t>Permitir planificación de horarios y control de asistencia desde la plataforma web.</t>
  </si>
  <si>
    <t>Módulo de horarios, registro de asistencia, consulta por atleta/fecha y control por entrenador.</t>
  </si>
  <si>
    <t>HU-05, HU-06, HT-07</t>
  </si>
  <si>
    <t>Incremento operativo para entrenadores.</t>
  </si>
  <si>
    <t>Pagos y vencimientos</t>
  </si>
  <si>
    <t>Registrar pagos, controlar estados y facilitar seguimiento administrativo.</t>
  </si>
  <si>
    <t>Registro de pagos, estados de vencimiento, filtros, alertas administrativas y consistencia de datos.</t>
  </si>
  <si>
    <t>HU-07, HU-08, HT-08</t>
  </si>
  <si>
    <t>Módulo administrativo clave.</t>
  </si>
  <si>
    <t>Pruebas físicas</t>
  </si>
  <si>
    <t>Registrar resultados deportivos y permitir seguimiento del progreso físico.</t>
  </si>
  <si>
    <t>Registro de tests físicos, historial por atleta, métricas y visualización de evolución.</t>
  </si>
  <si>
    <t>HU-09, HU-10, HT-09</t>
  </si>
  <si>
    <t>Aporta valor deportivo al sistema.</t>
  </si>
  <si>
    <t>Anuncios web</t>
  </si>
  <si>
    <t>Centralizar comunicados del club en la plataforma web.</t>
  </si>
  <si>
    <t>Gestión de anuncios por audiencia, prioridad, vigencia y visualización por rol.</t>
  </si>
  <si>
    <t>HU-11, HU-12, HT-10</t>
  </si>
  <si>
    <t>Anuncios separados de notificaciones.</t>
  </si>
  <si>
    <t>Notificaciones web y reportes</t>
  </si>
  <si>
    <t>Mejorar comunicación web y generar evidencias/reportes para administración.</t>
  </si>
  <si>
    <t>Campana de notificaciones web, alertas de pagos/anuncios, dashboards y reportes PDF.</t>
  </si>
  <si>
    <t>HU-13, HU-14, HT-11, HT-12</t>
  </si>
  <si>
    <t>Implementado con ajustes</t>
  </si>
  <si>
    <t>Notificaciones web quedan separadas de notificaciones móviles.</t>
  </si>
  <si>
    <t>Gamificación con Octalysis</t>
  </si>
  <si>
    <t>Aplicar el framework Octalysis para diseñar motivadores, recompensas e involucración de usuario.</t>
  </si>
  <si>
    <t>Mapa Octalysis, propuesta de XP, insignias, niveles, rachas y retos para asistencia/pruebas físicas.</t>
  </si>
  <si>
    <t>GAM-01, GAM-02, GAM-03, HU-15, HU-16, HT-13</t>
  </si>
  <si>
    <t>Aplicado en diseño / pendiente de evidencia técnica</t>
  </si>
  <si>
    <t>Sprint específico para gamificación.</t>
  </si>
  <si>
    <t>Inicio de aplicación móvil</t>
  </si>
  <si>
    <t>Iniciar la app móvil con Expo/React Native, navegación y conexión con Supabase.</t>
  </si>
  <si>
    <t>Proyecto móvil ejecutable, navegación base, cliente Supabase, login inicial y persistencia de sesión.</t>
  </si>
  <si>
    <t>HU-17, HT-14, HT-15, HT-16</t>
  </si>
  <si>
    <t>En progreso</t>
  </si>
  <si>
    <t>Ubicado en la semana anterior al 10 de mayo, como indicó el usuario.</t>
  </si>
  <si>
    <t>Perfil y anuncios móviles</t>
  </si>
  <si>
    <t>Permitir que el usuario móvil visualice información básica y anuncios activos.</t>
  </si>
  <si>
    <t>Pantallas móviles de perfil, home, anuncios, sesión y validación de datos desde Supabase.</t>
  </si>
  <si>
    <t>HU-18, HU-19, HT-17</t>
  </si>
  <si>
    <t>Planificado / en progreso</t>
  </si>
  <si>
    <t>Continuación natural del repo móvil.</t>
  </si>
  <si>
    <t>Horarios y progreso móvil</t>
  </si>
  <si>
    <t>Extender la app móvil hacia consulta de horarios, asistencia y progreso deportivo.</t>
  </si>
  <si>
    <t>Vista móvil de horarios, asistencia personal, pruebas físicas y progreso del atleta.</t>
  </si>
  <si>
    <t>HU-20, HU-21, HU-22, HT-18</t>
  </si>
  <si>
    <t>Planificado</t>
  </si>
  <si>
    <t>Conecta funcionalidades web con experiencia móvil.</t>
  </si>
  <si>
    <t>Notificaciones móviles</t>
  </si>
  <si>
    <t>Implementar notificaciones específicas para app móvil, separadas de la campana web.</t>
  </si>
  <si>
    <t>Permisos de notificación, tokens/dispositivo, alertas de anuncios, pagos y recordatorios móviles.</t>
  </si>
  <si>
    <t>HU-23, HT-19, HT-20</t>
  </si>
  <si>
    <t>Diferenciado de notificaciones web del Sprint 8.</t>
  </si>
  <si>
    <t>Integración y seguridad web-móvil</t>
  </si>
  <si>
    <t>Asegurar consistencia de datos, permisos y experiencia entre web y móvil.</t>
  </si>
  <si>
    <t>RLS revisado, consultas compartidas, manejo de errores, estados vacíos y consistencia visual.</t>
  </si>
  <si>
    <t>HU-24, HT-21, HT-22</t>
  </si>
  <si>
    <t>Sprint de estabilización técnica.</t>
  </si>
  <si>
    <t>Pruebas, ajustes y evidencias</t>
  </si>
  <si>
    <t>Validar flujos principales y preparar evidencia para tesis.</t>
  </si>
  <si>
    <t>Pruebas funcionales, pruebas por rol, checklist de aceptación, capturas y correcciones.</t>
  </si>
  <si>
    <t>QA-01, QA-02, QA-03, DOC-01</t>
  </si>
  <si>
    <t>Incluye evidencia web y móvil.</t>
  </si>
  <si>
    <t>Validación final y cierre</t>
  </si>
  <si>
    <t>Cerrar el incremento, consolidar documentación y preparar entrega final.</t>
  </si>
  <si>
    <t>Backlog actualizado, trazabilidad final, validación del Product Goal y conclusiones del ciclo Scrum.</t>
  </si>
  <si>
    <t>DOC-02, DOC-03, QA-04</t>
  </si>
  <si>
    <t>Sprint corto por cierre el 16 de junio.</t>
  </si>
  <si>
    <t>HISTORIAS DE USUARIO REFINADAS</t>
  </si>
  <si>
    <t>Historias con rol, necesidad, beneficio, criterios de aceptación y evidencia.</t>
  </si>
  <si>
    <t>ID</t>
  </si>
  <si>
    <t>Nombre</t>
  </si>
  <si>
    <t>Rol</t>
  </si>
  <si>
    <t>Historia de usuario</t>
  </si>
  <si>
    <t>Criterios de aceptación</t>
  </si>
  <si>
    <t>Prioridad</t>
  </si>
  <si>
    <t>Plataforma</t>
  </si>
  <si>
    <t>Evidencia / ruta</t>
  </si>
  <si>
    <t>Dependencia</t>
  </si>
  <si>
    <t>HU-01</t>
  </si>
  <si>
    <t>Acceso web por rol</t>
  </si>
  <si>
    <t>Usuario del sistema</t>
  </si>
  <si>
    <t>Como usuario del sistema, quiero iniciar sesión en la plataforma web, para acceder únicamente a las funciones que me corresponden según mi rol.</t>
  </si>
  <si>
    <t>Login funcional; redirección por rol; cierre de sesión; bloqueo de pantallas no autorizadas; mensaje de error ante credenciales inválidas.</t>
  </si>
  <si>
    <t>Alta</t>
  </si>
  <si>
    <t>Web</t>
  </si>
  <si>
    <t>src/components/Login.js, src/App.js</t>
  </si>
  <si>
    <t>HT-04</t>
  </si>
  <si>
    <t>HU-02</t>
  </si>
  <si>
    <t>Panel según rol</t>
  </si>
  <si>
    <t>Administrador / entrenador / atleta</t>
  </si>
  <si>
    <t>Como usuario autenticado, quiero visualizar un panel adaptado a mi rol, para trabajar con opciones relevantes y evitar confusiones.</t>
  </si>
  <si>
    <t>Panel administrador, entrenador y atleta diferenciados; menú por permisos; rutas protegidas; datos cargados según usuario.</t>
  </si>
  <si>
    <t>src/components/admin, src/components/trainer, src/components/student</t>
  </si>
  <si>
    <t>HU-03</t>
  </si>
  <si>
    <t>Gestión de usuarios</t>
  </si>
  <si>
    <t>Administrador</t>
  </si>
  <si>
    <t>Como administrador, quiero crear y administrar usuarios del sistema, para controlar el acceso a la plataforma del club.</t>
  </si>
  <si>
    <t>Crear usuario; editar datos; asignar rol; activar/desactivar; validar campos obligatorios; mostrar errores claros.</t>
  </si>
  <si>
    <t>src/components/admin/UsuariosManager.js</t>
  </si>
  <si>
    <t>HU-04</t>
  </si>
  <si>
    <t>Gestión de atletas</t>
  </si>
  <si>
    <t>Administrador / entrenador</t>
  </si>
  <si>
    <t>Como administrador o entrenador, quiero registrar y consultar atletas, para mantener actualizada la información deportiva del club.</t>
  </si>
  <si>
    <t>Registrar atleta; editar datos; asociar categoría/representante si aplica; buscar y filtrar; mantener historial básico.</t>
  </si>
  <si>
    <t>src/components/admin, src/services/supabaseService.js</t>
  </si>
  <si>
    <t>HU-05</t>
  </si>
  <si>
    <t>Gestión de horarios</t>
  </si>
  <si>
    <t>Como entrenador, quiero crear y consultar horarios de entrenamiento, para organizar las sesiones del club.</t>
  </si>
  <si>
    <t>Crear horario; editar; listar por día/categoría; evitar datos incompletos; mostrar horarios a usuarios permitidos.</t>
  </si>
  <si>
    <t>src/components/admin/HorariosManager.js, src/components/Horarios.js</t>
  </si>
  <si>
    <t>HU-06</t>
  </si>
  <si>
    <t>Registro de asistencias</t>
  </si>
  <si>
    <t>Entrenador</t>
  </si>
  <si>
    <t>Como entrenador, quiero registrar la asistencia de los atletas, para llevar control de participación en los entrenamientos.</t>
  </si>
  <si>
    <t>Registrar presente/ausente; seleccionar fecha/sesión; consultar historial; filtrar por atleta; guardar en Supabase.</t>
  </si>
  <si>
    <t>src/components/admin/AsistenciasManager.js, src/components/trainer/TrainerAsistenciasManager.js</t>
  </si>
  <si>
    <t>HU-04, HU-05</t>
  </si>
  <si>
    <t>HU-07</t>
  </si>
  <si>
    <t>Registro de pagos</t>
  </si>
  <si>
    <t>Como administrador, quiero registrar pagos de los atletas, para controlar obligaciones económicas del club.</t>
  </si>
  <si>
    <t>Registrar pago; monto/fecha/estado; editar; filtrar; visualizar vencidos; mantener consistencia con atleta.</t>
  </si>
  <si>
    <t>src/components/admin/PagosManager.js</t>
  </si>
  <si>
    <t>HU-08</t>
  </si>
  <si>
    <t>Seguimiento de vencimientos</t>
  </si>
  <si>
    <t>Como responsable del club, quiero identificar pagos vencidos o próximos a vencer, para tomar acciones oportunas.</t>
  </si>
  <si>
    <t>Estados calculados; filtros por vencido/pendiente; alertas visibles; actualización al cambiar información de pago.</t>
  </si>
  <si>
    <t>src/services/pagoStatusService.js, src/components/admin/NotificacionesPagos.js</t>
  </si>
  <si>
    <t>HU-09</t>
  </si>
  <si>
    <t>Registro de pruebas físicas</t>
  </si>
  <si>
    <t>Como entrenador, quiero registrar resultados de pruebas físicas, para evaluar el rendimiento de cada atleta.</t>
  </si>
  <si>
    <t>Registrar métricas; validar rangos; asociar atleta/fecha; editar resultados; consultar registros históricos.</t>
  </si>
  <si>
    <t>src/components/admin/TestsFisicosManager.js, src/components/trainer/TrainerTestsFisicosManager.js</t>
  </si>
  <si>
    <t>HU-10</t>
  </si>
  <si>
    <t>Consulta de progreso físico</t>
  </si>
  <si>
    <t>Atleta / entrenador</t>
  </si>
  <si>
    <t>Como atleta o entrenador, quiero consultar la evolución de resultados físicos, para identificar avances y aspectos por mejorar.</t>
  </si>
  <si>
    <t>Historial por atleta; visualización de evolución; filtros por prueba/fecha; lectura permitida según rol.</t>
  </si>
  <si>
    <t>Media</t>
  </si>
  <si>
    <t>src/components/student, src/components/trainer</t>
  </si>
  <si>
    <t>HU-11</t>
  </si>
  <si>
    <t>Gestión de anuncios web</t>
  </si>
  <si>
    <t>Como administrador o entrenador, quiero publicar anuncios en la plataforma web, para comunicar novedades del club.</t>
  </si>
  <si>
    <t>Crear anuncio; definir audiencia; prioridad; fecha; vigencia; activar/desactivar; editar contenido.</t>
  </si>
  <si>
    <t>src/components/admin/AnunciosManager.js</t>
  </si>
  <si>
    <t>HU-12</t>
  </si>
  <si>
    <t>Visualización de anuncios web</t>
  </si>
  <si>
    <t>Como usuario del sistema, quiero ver anuncios activos según mi rol, para enterarme de comunicados importantes.</t>
  </si>
  <si>
    <t>Listar anuncios activos; respetar audiencia; ordenar por fecha/prioridad; ocultar inactivos o expirados.</t>
  </si>
  <si>
    <t>src/components/AnunciosViewer.js, src/components/NotificationBell.js</t>
  </si>
  <si>
    <t>HU-13</t>
  </si>
  <si>
    <t>Notificaciones de aplicación web</t>
  </si>
  <si>
    <t>Usuario web</t>
  </si>
  <si>
    <t>Como usuario de la plataforma web, quiero recibir notificaciones dentro del sistema, para enterarme de anuncios, pagos o eventos relevantes.</t>
  </si>
  <si>
    <t>Campana web visible; contador; listado de notificaciones; tipos diferenciados; integración con pagos/anuncios; no depende de app móvil.</t>
  </si>
  <si>
    <t>src/components/NotificationBell.js, src/features/notifications</t>
  </si>
  <si>
    <t>HU-08, HU-11</t>
  </si>
  <si>
    <t>HU-14</t>
  </si>
  <si>
    <t>Reportes y dashboard web</t>
  </si>
  <si>
    <t>Como responsable del club, quiero visualizar indicadores y generar reportes, para tomar decisiones y respaldar evidencias.</t>
  </si>
  <si>
    <t>Dashboard por rol; métricas relevantes; filtros; exportación PDF; reportes legibles para tesis y operación.</t>
  </si>
  <si>
    <t>src/components/admin/Dashboard.js, src/utils/exportAttendancePdf.js</t>
  </si>
  <si>
    <t>HU-06, HU-07, HU-09</t>
  </si>
  <si>
    <t>HU-15</t>
  </si>
  <si>
    <t>Progreso gamificado</t>
  </si>
  <si>
    <t>Atleta</t>
  </si>
  <si>
    <t>Como atleta, quiero ver mi progreso mediante puntos, niveles o insignias, para motivarme a participar y mejorar.</t>
  </si>
  <si>
    <t>XP definido; niveles/insignias; progreso visible; relación con asistencia y pruebas físicas; reglas documentadas con Octalysis.</t>
  </si>
  <si>
    <t>Aplicado en diseño</t>
  </si>
  <si>
    <t>Web/Móvil</t>
  </si>
  <si>
    <t>Sprint 9 - Octalysis</t>
  </si>
  <si>
    <t>HU-06, HU-09</t>
  </si>
  <si>
    <t>HU-16</t>
  </si>
  <si>
    <t>Retos y reconocimiento</t>
  </si>
  <si>
    <t>Entrenador / atleta</t>
  </si>
  <si>
    <t>Como entrenador, quiero proponer retos y reconocer logros, para aumentar la participación de los atletas.</t>
  </si>
  <si>
    <t>Retos definidos; criterios de logro; recompensas; feedback positivo; evita presión negativa; alineado a Octalysis.</t>
  </si>
  <si>
    <t>HU-17</t>
  </si>
  <si>
    <t>Login móvil</t>
  </si>
  <si>
    <t>Usuario móvil</t>
  </si>
  <si>
    <t>Como usuario móvil, quiero iniciar sesión desde la app, para acceder rápidamente a la información del club.</t>
  </si>
  <si>
    <t>Pantalla login; Supabase Auth; persistencia de sesión; navegación posterior; cierre de sesión.</t>
  </si>
  <si>
    <t>Móvil</t>
  </si>
  <si>
    <t>riovoley-mobile/app/login.tsx, lib/supabase.ts</t>
  </si>
  <si>
    <t>HU-18</t>
  </si>
  <si>
    <t>Perfil móvil</t>
  </si>
  <si>
    <t>Atleta / usuario móvil</t>
  </si>
  <si>
    <t>Como usuario móvil, quiero consultar mi perfil básico, para verificar mis datos principales dentro del club.</t>
  </si>
  <si>
    <t>Consulta de perfil; manejo de sesión; estados de carga/error; diseño adaptable; datos desde Supabase.</t>
  </si>
  <si>
    <t>riovoley-mobile/app/(tabs)/index.tsx</t>
  </si>
  <si>
    <t>HU-19</t>
  </si>
  <si>
    <t>Anuncios móviles</t>
  </si>
  <si>
    <t>Como usuario móvil, quiero visualizar anuncios activos en la app, para recibir comunicados sin depender de la web.</t>
  </si>
  <si>
    <t>Lista de anuncios; filtro por vigencia/audiencia; estados vacíos; actualización al iniciar sesión.</t>
  </si>
  <si>
    <t>HU-17, HU-11</t>
  </si>
  <si>
    <t>HU-20</t>
  </si>
  <si>
    <t>Horarios móviles</t>
  </si>
  <si>
    <t>Como atleta, quiero consultar mis horarios desde la app móvil, para organizar mi asistencia a entrenamientos.</t>
  </si>
  <si>
    <t>Vista de horarios; filtro por día/categoría; estados de carga; datos sincronizados con web.</t>
  </si>
  <si>
    <t>Pendiente en riovoley-mobile</t>
  </si>
  <si>
    <t>HU-05, HU-17</t>
  </si>
  <si>
    <t>HU-21</t>
  </si>
  <si>
    <t>Asistencia móvil</t>
  </si>
  <si>
    <t>Como usuario móvil autorizado, quiero consultar o registrar asistencia según mi rol, para llevar control desde el celular.</t>
  </si>
  <si>
    <t>Atleta consulta asistencia; entrenador registra si se habilita; permisos por rol; sincronización con web.</t>
  </si>
  <si>
    <t>HU-06, HU-17</t>
  </si>
  <si>
    <t>HU-22</t>
  </si>
  <si>
    <t>Progreso deportivo móvil</t>
  </si>
  <si>
    <t>Como atleta, quiero consultar mis pruebas físicas desde la app, para revisar mi evolución personal.</t>
  </si>
  <si>
    <t>Lista de pruebas; detalle por fecha; progreso; datos protegidos por usuario/rol.</t>
  </si>
  <si>
    <t>HU-09, HU-17</t>
  </si>
  <si>
    <t>HU-23</t>
  </si>
  <si>
    <t>Como usuario móvil, quiero recibir notificaciones push o alertas en la app, para enterarme oportunamente de anuncios, pagos o recordatorios.</t>
  </si>
  <si>
    <t>Permiso de notificación; token/dispositivo; envío/recepción; tipos de alerta; separación clara de notificaciones web.</t>
  </si>
  <si>
    <t>HU-13, HU-17</t>
  </si>
  <si>
    <t>HU-24</t>
  </si>
  <si>
    <t>Experiencia integrada web-móvil</t>
  </si>
  <si>
    <t>Como usuario del sistema, quiero que la información sea consistente entre web y móvil, para confiar en los datos del club.</t>
  </si>
  <si>
    <t>Datos sincronizados; permisos coherentes; errores controlados; mismo criterio de estados; validación web-móvil.</t>
  </si>
  <si>
    <t>Repos web y móvil</t>
  </si>
  <si>
    <t>HU-01 a HU-23</t>
  </si>
  <si>
    <t>HU-25</t>
  </si>
  <si>
    <t>Validación final de usuario</t>
  </si>
  <si>
    <t>Como Product Owner, quiero validar los incrementos entregados, para confirmar que responden a las necesidades de Riovoley.</t>
  </si>
  <si>
    <t>Checklist de aceptación; evidencias; observaciones corregidas; backlog cerrado o actualizado; aprobación final.</t>
  </si>
  <si>
    <t>Evidencias de tesis</t>
  </si>
  <si>
    <t>Todos</t>
  </si>
  <si>
    <t>HISTORIAS TÉCNICAS / ENABLERS</t>
  </si>
  <si>
    <t>Enablers alineados al proyecto real, evitando nombrar APIs propias cuando la lógica se gestiona dentro del sistema.</t>
  </si>
  <si>
    <t>Enabler técnico</t>
  </si>
  <si>
    <t>Descripción técnica</t>
  </si>
  <si>
    <t>HT-01</t>
  </si>
  <si>
    <t>Configuración inicial del repositorio web</t>
  </si>
  <si>
    <t>Preparar el proyecto React, dependencias, scripts y estructura base.</t>
  </si>
  <si>
    <t>Proyecto ejecuta en local; scripts start/build/test/e2e; estructura src organizada.</t>
  </si>
  <si>
    <t>riovoley/package.json, src/</t>
  </si>
  <si>
    <t>Ninguna</t>
  </si>
  <si>
    <t>HT-02</t>
  </si>
  <si>
    <t>Diseño de arquitectura Clean Lite por feature</t>
  </si>
  <si>
    <t>Definir una arquitectura por funcionalidades con separación de componentes, servicios, hooks y utilidades.</t>
  </si>
  <si>
    <t>Diagrama de arquitectura; capas definidas; flujo React-Supabase; responsabilidades claras por feature.</t>
  </si>
  <si>
    <t>README, src/components, src/services, src/hooks</t>
  </si>
  <si>
    <t>HT-03</t>
  </si>
  <si>
    <t>Diagramas de procesos del sistema</t>
  </si>
  <si>
    <t>Modelar procesos clave antes de construir o ajustar funcionalidades.</t>
  </si>
  <si>
    <t>Diagramas de login, usuarios, pagos, asistencias, horarios, pruebas físicas y anuncios; relación con módulos del sistema.</t>
  </si>
  <si>
    <t>Documentado</t>
  </si>
  <si>
    <t>Documentación</t>
  </si>
  <si>
    <t>Diagramas para tesis / documentación</t>
  </si>
  <si>
    <t>Modelo de datos en Supabase</t>
  </si>
  <si>
    <t>Estructurar tablas, relaciones, esquemas y vistas necesarias para operación del club.</t>
  </si>
  <si>
    <t>Tablas y relaciones; vistas de compatibilidad; validaciones; lectura/escritura según módulos.</t>
  </si>
  <si>
    <t>Web/DB</t>
  </si>
  <si>
    <t>database/, README_DATABASE.md</t>
  </si>
  <si>
    <t>HT-05</t>
  </si>
  <si>
    <t>Autenticación y autorización</t>
  </si>
  <si>
    <t>Configurar Supabase Auth, sesión, roles y restricciones por panel.</t>
  </si>
  <si>
    <t>Auth funcional; sesión persistente; roles; rutas protegidas; manejo de acceso denegado.</t>
  </si>
  <si>
    <t>src/App.js, src/hooks/useUserProfile.js</t>
  </si>
  <si>
    <t>HT-06</t>
  </si>
  <si>
    <t>Servicios internos con Supabase</t>
  </si>
  <si>
    <t>Implementar lógica de consulta, inserción y actualización sin plantearlo como API propia del proyecto.</t>
  </si>
  <si>
    <t>CRUD mediante supabase-js; validaciones; manejo de errores; funciones reutilizables.</t>
  </si>
  <si>
    <t>src/services/supabaseService.js</t>
  </si>
  <si>
    <t>HT-07</t>
  </si>
  <si>
    <t>Gestión de horarios y asistencia</t>
  </si>
  <si>
    <t>Construir componentes y servicios para controlar entrenamientos y asistencia.</t>
  </si>
  <si>
    <t>Formularios; listados; filtros; persistencia; permisos por rol.</t>
  </si>
  <si>
    <t>HorariosManager, AsistenciasManager</t>
  </si>
  <si>
    <t>HT-08</t>
  </si>
  <si>
    <t>Lógica de pagos y estados</t>
  </si>
  <si>
    <t>Implementar reglas de pago, vencimientos y alertas administrativas.</t>
  </si>
  <si>
    <t>Estados calculados; filtros; alertas; pruebas manuales; consistencia de datos.</t>
  </si>
  <si>
    <t>PagosManager, pagoStatusService</t>
  </si>
  <si>
    <t>HT-09</t>
  </si>
  <si>
    <t>Módulo de pruebas físicas</t>
  </si>
  <si>
    <t>Implementar formularios, historial y consulta de resultados deportivos.</t>
  </si>
  <si>
    <t>Métricas guardadas; historial; validaciones; visualización por rol.</t>
  </si>
  <si>
    <t>TestsFisicosManager</t>
  </si>
  <si>
    <t>HT-10</t>
  </si>
  <si>
    <t>Módulo de anuncios web</t>
  </si>
  <si>
    <t>Implementar publicación y visualización de anuncios web.</t>
  </si>
  <si>
    <t>CRUD de anuncios; audiencia; prioridad; vigencia; visualización por rol.</t>
  </si>
  <si>
    <t>AnunciosManager, AnunciosViewer</t>
  </si>
  <si>
    <t>HT-11</t>
  </si>
  <si>
    <t>Notificaciones de la aplicación web</t>
  </si>
  <si>
    <t>Implementar campana y alertas internas en la web.</t>
  </si>
  <si>
    <t>Contador; listado; tipos; integración con anuncios/pagos; separación de móvil.</t>
  </si>
  <si>
    <t>NotificationBell, features/notifications</t>
  </si>
  <si>
    <t>HT-10, HT-08</t>
  </si>
  <si>
    <t>HT-12</t>
  </si>
  <si>
    <t>Dashboards, reportes y pruebas E2E</t>
  </si>
  <si>
    <t>Preparar visualización, exportación y validación técnica de flujos principales.</t>
  </si>
  <si>
    <t>Dashboard; PDF; Playwright; evidencia de pruebas; ajustes por rol.</t>
  </si>
  <si>
    <t>Dashboard, exportAttendancePdf, tests/e2e</t>
  </si>
  <si>
    <t>HT-13</t>
  </si>
  <si>
    <t>Modelo de gamificación basado en Octalysis</t>
  </si>
  <si>
    <t>Diseñar reglas de XP, insignias, niveles y retos desde los 8 motivadores de Octalysis.</t>
  </si>
  <si>
    <t>Mapa Octalysis; reglas; recompensas; criterios de logro; matriz de implementación.</t>
  </si>
  <si>
    <t>Hoja Octalysis del backlog</t>
  </si>
  <si>
    <t>HU-15, HU-16</t>
  </si>
  <si>
    <t>HT-14</t>
  </si>
  <si>
    <t>Configuración base app móvil</t>
  </si>
  <si>
    <t>Crear y configurar proyecto Expo/React Native.</t>
  </si>
  <si>
    <t>Expo ejecutable; scripts; TypeScript; NativeWind; navegación base.</t>
  </si>
  <si>
    <t>riovoley-mobile/package.json</t>
  </si>
  <si>
    <t>HT-15</t>
  </si>
  <si>
    <t>Cliente Supabase móvil</t>
  </si>
  <si>
    <t>Conectar la app móvil con Supabase y persistir sesión.</t>
  </si>
  <si>
    <t>supabase-js; AsyncStorage; variables de entorno; URL polyfill; manejo de sesión.</t>
  </si>
  <si>
    <t>riovoley-mobile/lib/supabase.ts, package.json</t>
  </si>
  <si>
    <t>HT-16</t>
  </si>
  <si>
    <t>Navegación móvil por archivos</t>
  </si>
  <si>
    <t>Organizar rutas móviles con Expo Router y tabs.</t>
  </si>
  <si>
    <t>app/_layout.tsx; app/(tabs); login; navegación protegida inicial.</t>
  </si>
  <si>
    <t>riovoley-mobile/app</t>
  </si>
  <si>
    <t>HT-17</t>
  </si>
  <si>
    <t>Pantallas móviles de perfil/anuncios</t>
  </si>
  <si>
    <t>Construir home móvil con datos básicos y anuncios activos.</t>
  </si>
  <si>
    <t>Consulta de perfil; anuncios; estados de carga; navegación simple; diseño adaptado.</t>
  </si>
  <si>
    <t>HT-18</t>
  </si>
  <si>
    <t>Consultas móviles de horarios/asistencia/progreso</t>
  </si>
  <si>
    <t>Extender consultas móviles a funcionalidades operativas.</t>
  </si>
  <si>
    <t>Queries seguras; estados vacíos; permisos; presentación móvil.</t>
  </si>
  <si>
    <t>Pendiente</t>
  </si>
  <si>
    <t>HU-20, HU-21, HU-22</t>
  </si>
  <si>
    <t>HT-19</t>
  </si>
  <si>
    <t>Servicio de notificaciones móviles</t>
  </si>
  <si>
    <t>Diseñar e implementar notificaciones móviles separadas de la web.</t>
  </si>
  <si>
    <t>Permisos; token dispositivo; almacenamiento; tipos; pruebas en Expo/dispositivo.</t>
  </si>
  <si>
    <t>HT-20</t>
  </si>
  <si>
    <t>Flujo de recordatorios móviles</t>
  </si>
  <si>
    <t>Configurar recordatorios para anuncios, pagos o entrenamientos.</t>
  </si>
  <si>
    <t>Reglas de envío; segmentación; fallback si no hay permiso; validación con usuario.</t>
  </si>
  <si>
    <t>HT-21</t>
  </si>
  <si>
    <t>Revisión de seguridad web-móvil</t>
  </si>
  <si>
    <t>Ajustar RLS, permisos y manejo de datos sensibles compartidos.</t>
  </si>
  <si>
    <t>Políticas revisadas; pruebas por rol; no exposición de datos ajenos; errores controlados.</t>
  </si>
  <si>
    <t>Supabase / repos</t>
  </si>
  <si>
    <t>HT-04, HT-15</t>
  </si>
  <si>
    <t>HT-22</t>
  </si>
  <si>
    <t>Consistencia UI/UX entre web y móvil</t>
  </si>
  <si>
    <t>Alinear lenguaje visual y navegación para una experiencia coherente.</t>
  </si>
  <si>
    <t>Colores, tipografías, mensajes y estados consistentes; validación móvil/web.</t>
  </si>
  <si>
    <t>Diseño y componentes</t>
  </si>
  <si>
    <t>HT-23</t>
  </si>
  <si>
    <t>Evidencias para tesis</t>
  </si>
  <si>
    <t>Recolectar capturas, rutas de repositorio, pruebas y validaciones por sprint.</t>
  </si>
  <si>
    <t>Matriz de evidencia; capturas; links; resultados; checklist por historia.</t>
  </si>
  <si>
    <t>Tesis / anexos</t>
  </si>
  <si>
    <t>HT-24</t>
  </si>
  <si>
    <t>Cierre técnico y backlog final</t>
  </si>
  <si>
    <t>Consolidar backlog, alcance, pendientes y validación final.</t>
  </si>
  <si>
    <t>Backlog final; estados actualizados; deuda técnica registrada; cierre del incremento.</t>
  </si>
  <si>
    <t>Excel + tesis</t>
  </si>
  <si>
    <t>PRODUCT BACKLOG PRIORIZADO</t>
  </si>
  <si>
    <t>Backlog detallado por sprint, tipo de PBI, estado, evidencia y dependencias.</t>
  </si>
  <si>
    <t>Tipo</t>
  </si>
  <si>
    <t>Épica / Plataforma</t>
  </si>
  <si>
    <t>Nombre PBI</t>
  </si>
  <si>
    <t>Descripción</t>
  </si>
  <si>
    <t>Fechas</t>
  </si>
  <si>
    <t>Repositorio / área</t>
  </si>
  <si>
    <t>Evidencia</t>
  </si>
  <si>
    <t>02/03/2026 - 08/03/2026</t>
  </si>
  <si>
    <t>09/03/2026 - 15/03/2026</t>
  </si>
  <si>
    <t>16/03/2026 - 22/03/2026</t>
  </si>
  <si>
    <t>23/03/2026 - 29/03/2026</t>
  </si>
  <si>
    <t>30/03/2026 - 05/04/2026</t>
  </si>
  <si>
    <t>06/04/2026 - 12/04/2026</t>
  </si>
  <si>
    <t>13/04/2026 - 19/04/2026</t>
  </si>
  <si>
    <t>20/04/2026 - 26/04/2026</t>
  </si>
  <si>
    <t>27/04/2026 - 03/05/2026</t>
  </si>
  <si>
    <t>04/05/2026 - 10/05/2026</t>
  </si>
  <si>
    <t>11/05/2026 - 17/05/2026</t>
  </si>
  <si>
    <t>18/05/2026 - 24/05/2026</t>
  </si>
  <si>
    <t>25/05/2026 - 31/05/2026</t>
  </si>
  <si>
    <t>01/06/2026 - 07/06/2026</t>
  </si>
  <si>
    <t>08/06/2026 - 14/06/2026</t>
  </si>
  <si>
    <t>QA-01</t>
  </si>
  <si>
    <t>QA/Documentación</t>
  </si>
  <si>
    <t>Pruebas funcionales web</t>
  </si>
  <si>
    <t>Validar flujos web por rol con checklist y evidencias.</t>
  </si>
  <si>
    <t>Login, usuarios, pagos, asistencia, pruebas físicas, anuncios y notificaciones web validados.</t>
  </si>
  <si>
    <t>Checklist pruebas web</t>
  </si>
  <si>
    <t>HU-01 a HU-14</t>
  </si>
  <si>
    <t>QA-02</t>
  </si>
  <si>
    <t>Pruebas funcionales móviles</t>
  </si>
  <si>
    <t>Validar flujos móviles disponibles o planificados.</t>
  </si>
  <si>
    <t>Login móvil, perfil, anuncios, horarios/progreso si están listos; resultados documentados.</t>
  </si>
  <si>
    <t>Checklist pruebas móvil</t>
  </si>
  <si>
    <t>HU-17 a HU-23</t>
  </si>
  <si>
    <t>QA-03</t>
  </si>
  <si>
    <t>Pruebas de seguridad por rol</t>
  </si>
  <si>
    <t>Verificar que cada rol acceda solo a lo permitido.</t>
  </si>
  <si>
    <t>Escenarios de admin, entrenador y atleta; evidencias de restricciones.</t>
  </si>
  <si>
    <t>Checklist seguridad</t>
  </si>
  <si>
    <t>DOC-01</t>
  </si>
  <si>
    <t>Matriz de evidencia por sprint</t>
  </si>
  <si>
    <t>Relacionar historias, capturas, commits y módulos implementados.</t>
  </si>
  <si>
    <t>Tabla de evidencias completa; links a repositorios; estado por PBI.</t>
  </si>
  <si>
    <t>Anexos tesis</t>
  </si>
  <si>
    <t>DOC-02</t>
  </si>
  <si>
    <t>Validación Product Goal</t>
  </si>
  <si>
    <t>Comprobar cumplimiento del objetivo del producto.</t>
  </si>
  <si>
    <t>Product Goal contrastado con incrementos; pendientes justificados; aceptación PO.</t>
  </si>
  <si>
    <t>15/06/2026 - 16/06/2026</t>
  </si>
  <si>
    <t>Acta/cierre</t>
  </si>
  <si>
    <t>DOC-03</t>
  </si>
  <si>
    <t>Cierre del Product Backlog</t>
  </si>
  <si>
    <t>Actualizar estados, prioridades y deuda técnica final.</t>
  </si>
  <si>
    <t>Backlog final sin duplicados; dependencias claras; pendientes identificados.</t>
  </si>
  <si>
    <t>Excel final</t>
  </si>
  <si>
    <t>QA-04</t>
  </si>
  <si>
    <t>Validación final con usuario</t>
  </si>
  <si>
    <t>Revisar el sistema con actores clave del club.</t>
  </si>
  <si>
    <t>Observaciones registradas; ajustes finales; conformidad para presentación.</t>
  </si>
  <si>
    <t>Acta o checklist</t>
  </si>
  <si>
    <t>TRAZABILIDAD ENTRE BACKLOG, REPOSITORIOS Y SPRINTS</t>
  </si>
  <si>
    <t>Relación de módulos, estado interpretado y PBIs asociados.</t>
  </si>
  <si>
    <t>Módulo / funcionalidad</t>
  </si>
  <si>
    <t>Repositorio / fuente</t>
  </si>
  <si>
    <t>Ruta o artefacto</t>
  </si>
  <si>
    <t>PBIs relacionados</t>
  </si>
  <si>
    <t>Comentario</t>
  </si>
  <si>
    <t>Arquitectura web</t>
  </si>
  <si>
    <t>riovoley</t>
  </si>
  <si>
    <t>README.md, src/components, src/services, src/hooks</t>
  </si>
  <si>
    <t>Clean Lite por feature; React SPA conectada a Supabase.</t>
  </si>
  <si>
    <t>Diagramas de procesos</t>
  </si>
  <si>
    <t>Documentación tesis</t>
  </si>
  <si>
    <t>Diagramas de autenticación, usuarios, asistencia, pagos, horarios, pruebas físicas, anuncios</t>
  </si>
  <si>
    <t>Se incluye desde Sprint 1 como diseño previo y trazabilidad metodológica.</t>
  </si>
  <si>
    <t>Autenticación web</t>
  </si>
  <si>
    <t>src/components/Login.js, src/App.js, src/hooks/useUserProfile.js</t>
  </si>
  <si>
    <t>HU-01, HU-02, HT-05</t>
  </si>
  <si>
    <t>Acceso por rol y sesión web.</t>
  </si>
  <si>
    <t>Usuarios y atletas</t>
  </si>
  <si>
    <t>HU-03, HU-04</t>
  </si>
  <si>
    <t>Gestión administrativa y datos de atletas.</t>
  </si>
  <si>
    <t>Horarios</t>
  </si>
  <si>
    <t>HorariosManager.js, Horarios.js</t>
  </si>
  <si>
    <t>Planificación y consulta de horarios.</t>
  </si>
  <si>
    <t>Asistencias</t>
  </si>
  <si>
    <t>AsistenciasManager.js, TrainerAsistenciasManager.js</t>
  </si>
  <si>
    <t>Registro operativo por entrenador/admin.</t>
  </si>
  <si>
    <t>Pagos</t>
  </si>
  <si>
    <t>PagosManager.js, pagoStatusService.js, NotificacionesPagos.js</t>
  </si>
  <si>
    <t>HU-07, HU-08</t>
  </si>
  <si>
    <t>Control de pagos y vencimientos.</t>
  </si>
  <si>
    <t>TestsFisicosManager.js, TrainerTestsFisicosManager.js</t>
  </si>
  <si>
    <t>HU-09, HU-10</t>
  </si>
  <si>
    <t>Seguimiento deportivo.</t>
  </si>
  <si>
    <t>AnunciosManager.js, AnunciosViewer.js</t>
  </si>
  <si>
    <t>HU-11, HU-12</t>
  </si>
  <si>
    <t>Comunicados dentro de la web.</t>
  </si>
  <si>
    <t>Notificaciones web</t>
  </si>
  <si>
    <t>NotificationBell.js, features/notifications</t>
  </si>
  <si>
    <t>HU-13, HT-11</t>
  </si>
  <si>
    <t>Campana y alertas web; separado de móvil.</t>
  </si>
  <si>
    <t>Gamificación Octalysis</t>
  </si>
  <si>
    <t>Diseño/backlog</t>
  </si>
  <si>
    <t>Hoja Octalysis, Sprint 9</t>
  </si>
  <si>
    <t>GAM-01, HU-15, HU-16, HT-13</t>
  </si>
  <si>
    <t>Marco de motivadores para XP, insignias y retos.</t>
  </si>
  <si>
    <t>App móvil base</t>
  </si>
  <si>
    <t>riovoley-mobile</t>
  </si>
  <si>
    <t>package.json, app/, lib/supabase.ts</t>
  </si>
  <si>
    <t>Proyecto Expo/React Native con Supabase y navegación base.</t>
  </si>
  <si>
    <t>Perfil/anuncios móvil</t>
  </si>
  <si>
    <t>app/(tabs)/index.tsx</t>
  </si>
  <si>
    <t>Continuación del trabajo móvil iniciado en Sprint 10.</t>
  </si>
  <si>
    <t>Horarios/asistencia/progreso móvil</t>
  </si>
  <si>
    <t>Extensión de módulos web hacia app móvil.</t>
  </si>
  <si>
    <t>Módulo móvil independiente de campana web.</t>
  </si>
  <si>
    <t>Validación y cierre</t>
  </si>
  <si>
    <t>Checklist, evidencias, anexos</t>
  </si>
  <si>
    <t>QA-01 a QA-04, DOC-01 a DOC-03</t>
  </si>
  <si>
    <t>Cierre de Scrum y respaldo académico.</t>
  </si>
  <si>
    <t>APLICACIÓN DEL FRAMEWORK OCTALYSIS</t>
  </si>
  <si>
    <t>Sprint 9: diseño de gamificación para aumentar involucración de usuario.</t>
  </si>
  <si>
    <t>Core Drive Octalysis</t>
  </si>
  <si>
    <t>Interpretación en Riovoley</t>
  </si>
  <si>
    <t>Aplicación propuesta</t>
  </si>
  <si>
    <t>Mecánica concreta</t>
  </si>
  <si>
    <t>1. Significado épico y llamado</t>
  </si>
  <si>
    <t>Sentido de pertenencia al club Riovoley</t>
  </si>
  <si>
    <t>Mostrar que la participación aporta al equipo y al crecimiento deportivo del club.</t>
  </si>
  <si>
    <t>Mensajes de logro grupal, insignias de pertenencia, avances por categoría.</t>
  </si>
  <si>
    <t>Sprint 9</t>
  </si>
  <si>
    <t>Diseño</t>
  </si>
  <si>
    <t>2. Desarrollo y logro</t>
  </si>
  <si>
    <t>Progreso visible del atleta</t>
  </si>
  <si>
    <t>Convertir asistencia, constancia y resultados físicos en avance medible.</t>
  </si>
  <si>
    <t>XP, niveles, barras de progreso, insignias por mejora física.</t>
  </si>
  <si>
    <t>3. Empoderamiento creativo</t>
  </si>
  <si>
    <t>Retos deportivos configurables</t>
  </si>
  <si>
    <t>Permitir que entrenadores propongan retos acordes a categoría o necesidad física.</t>
  </si>
  <si>
    <t>Retos semanales, metas personalizadas y registro de cumplimiento.</t>
  </si>
  <si>
    <t>4. Propiedad y posesión</t>
  </si>
  <si>
    <t>Perfil deportivo personal</t>
  </si>
  <si>
    <t>Hacer que el atleta sienta que su perfil, progreso e insignias le pertenecen.</t>
  </si>
  <si>
    <t>Perfil con historial, logros desbloqueados y progreso acumulado.</t>
  </si>
  <si>
    <t>HU-10, HU-22</t>
  </si>
  <si>
    <t>Sprint 9 / Sprint 12</t>
  </si>
  <si>
    <t>Diseño + móvil</t>
  </si>
  <si>
    <t>5. Influencia social</t>
  </si>
  <si>
    <t>Reconocimiento sano</t>
  </si>
  <si>
    <t>Motivar mediante reconocimiento sin generar presión negativa ni competencia dañina.</t>
  </si>
  <si>
    <t>Insignias visibles, reconocimientos del entrenador, retos por equipo.</t>
  </si>
  <si>
    <t>6. Escasez e impaciencia</t>
  </si>
  <si>
    <t>Retos temporales</t>
  </si>
  <si>
    <t>Crear objetivos de tiempo limitado para incentivar participación constante.</t>
  </si>
  <si>
    <t>Rachas semanales, retos por periodo, aviso de cierre de reto.</t>
  </si>
  <si>
    <t>HU-16, HU-23</t>
  </si>
  <si>
    <t>Sprint 9 / Sprint 13</t>
  </si>
  <si>
    <t>Diseño + notificaciones móviles</t>
  </si>
  <si>
    <t>7. Imprevisibilidad y curiosidad</t>
  </si>
  <si>
    <t>Recompensas sorpresa controladas</t>
  </si>
  <si>
    <t>Mantener interés con mensajes o insignias no totalmente predecibles, sin afectar justicia del sistema.</t>
  </si>
  <si>
    <t>Insignias sorpresa por constancia o mejora destacada.</t>
  </si>
  <si>
    <t>8. Pérdida y evitación</t>
  </si>
  <si>
    <t>Recordatorios positivos</t>
  </si>
  <si>
    <t>Evitar que el usuario pierda rachas o incumpla pagos/entrenamientos mediante recordatorios no invasivos.</t>
  </si>
  <si>
    <t>Notificaciones móviles y web con tono preventivo y motivador.</t>
  </si>
  <si>
    <t>HU-13, HU-23</t>
  </si>
  <si>
    <t>Sprint 8 / Sprint 13</t>
  </si>
  <si>
    <t>Web implementado + móvil planificado</t>
  </si>
  <si>
    <t>DEFINITION OF READY / DEFINITION OF DONE</t>
  </si>
  <si>
    <t>Criterios para gestionar historias y enablers dentro de Scrum.</t>
  </si>
  <si>
    <t>Artefacto Scrum</t>
  </si>
  <si>
    <t>Criterio</t>
  </si>
  <si>
    <t>Aplicación en Riovoley</t>
  </si>
  <si>
    <t>Evidencia esperada</t>
  </si>
  <si>
    <t>Definition of Ready</t>
  </si>
  <si>
    <t>Historia escrita con rol, necesidad y beneficio.</t>
  </si>
  <si>
    <t>Formato Como..., quiero..., para...</t>
  </si>
  <si>
    <t>Product Backlog e Historias de Usuario.</t>
  </si>
  <si>
    <t>Criterios de aceptación verificables.</t>
  </si>
  <si>
    <t>Cada PBI tiene condiciones observables.</t>
  </si>
  <si>
    <t>Columna criterios de aceptación.</t>
  </si>
  <si>
    <t>Priorización y estimación.</t>
  </si>
  <si>
    <t>Prioridad Alta/Media/Baja y puntos Scrum.</t>
  </si>
  <si>
    <t>Product Backlog.</t>
  </si>
  <si>
    <t>Dependencias identificadas.</t>
  </si>
  <si>
    <t>Cada PBI indica dependencia cuando aplica.</t>
  </si>
  <si>
    <t>Columna dependencia.</t>
  </si>
  <si>
    <t>Sprint Goal relacionado.</t>
  </si>
  <si>
    <t>Cada sprint tiene objetivo claro.</t>
  </si>
  <si>
    <t>Plan por Sprint.</t>
  </si>
  <si>
    <t>Definition of Done</t>
  </si>
  <si>
    <t>Código o diseño integrado en el artefacto correspondiente.</t>
  </si>
  <si>
    <t>Repositorio web, móvil o documentación de tesis.</t>
  </si>
  <si>
    <t>Ruta, captura o documento.</t>
  </si>
  <si>
    <t>Validación por rol o actor.</t>
  </si>
  <si>
    <t>Admin, entrenador, atleta, usuario móvil o Product Owner.</t>
  </si>
  <si>
    <t>Checklist de pruebas.</t>
  </si>
  <si>
    <t>Persistencia y seguridad revisadas.</t>
  </si>
  <si>
    <t>Supabase, RLS, sesión y control de acceso.</t>
  </si>
  <si>
    <t>Pruebas manuales/E2E.</t>
  </si>
  <si>
    <t>Evidencia preparada para tesis.</t>
  </si>
  <si>
    <t>Capturas, rutas de repo, pruebas, resultados.</t>
  </si>
  <si>
    <t>Anexos y matriz de evidencia.</t>
  </si>
  <si>
    <t>No mezclar notificaciones web y móvil.</t>
  </si>
  <si>
    <t>Cada una tiene HU, HT y sprint propio.</t>
  </si>
  <si>
    <t>Sprint 8 y Sprint 13.</t>
  </si>
  <si>
    <t>Regla de planificación</t>
  </si>
  <si>
    <t>La planificación inicia en Sprint 1.</t>
  </si>
  <si>
    <t>La arquitectura, diagramas y base técnica se incluyen en el primer sprint formal.</t>
  </si>
  <si>
    <t>La app móvil inicia desde la semana indicada por el usuario.</t>
  </si>
  <si>
    <t>Se ubica desde el 04/05/2026 al 10/05/2026.</t>
  </si>
  <si>
    <t>Sprint 10.</t>
  </si>
  <si>
    <t>FUENTES UTILIZADAS</t>
  </si>
  <si>
    <t>Referencias usadas para alinear el backlog con el proyecto real.</t>
  </si>
  <si>
    <t>Fuente</t>
  </si>
  <si>
    <t>URL / referencia</t>
  </si>
  <si>
    <t>Uso en el ajuste</t>
  </si>
  <si>
    <t>Repositorio web RioVoley</t>
  </si>
  <si>
    <t>Fuente principal para funcionalidades web, stack y capacidades.</t>
  </si>
  <si>
    <t>README web</t>
  </si>
  <si>
    <t>https://github.com/Joscoo/riovoley#readme</t>
  </si>
  <si>
    <t>Evidencia de módulos: roles, atletas, asistencias, pagos, horarios, pruebas físicas, notificaciones y seguridad.</t>
  </si>
  <si>
    <t>Repositorio móvil RioVoley</t>
  </si>
  <si>
    <t>Fuente principal para estado de app móvil.</t>
  </si>
  <si>
    <t>App móvil - carpeta app</t>
  </si>
  <si>
    <t>https://github.com/Joscoo/riovoley-mobile/tree/main/app</t>
  </si>
  <si>
    <t>Evidencia de navegación por archivos, login y tabs.</t>
  </si>
  <si>
    <t>App móvil - package.json</t>
  </si>
  <si>
    <t>https://github.com/Joscoo/riovoley-mobile/blob/main/package.json</t>
  </si>
  <si>
    <t>Evidencia de Expo, React Native, Expo Router, Supabase y AsyncStorage.</t>
  </si>
  <si>
    <t>App móvil - lib</t>
  </si>
  <si>
    <t>https://github.com/Joscoo/riovoley-mobile/tree/main/lib</t>
  </si>
  <si>
    <t>Evidencia de cliente Supabase móvil.</t>
  </si>
  <si>
    <t>Fecha de planificación</t>
  </si>
  <si>
    <t>02/03/2026 - 16/06/2026</t>
  </si>
  <si>
    <t>Rango solicitado para distribuir sprints Scrum.</t>
  </si>
  <si>
    <t xml:space="preserve">Stiven Apolo y José Bonilla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</si>
</sst>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name val="Carlito"/>
    </font>
    <font>
      <sz val="10"/>
      <color rgb="FF1F2937"/>
      <name val="Calibri"/>
    </font>
    <font>
      <b/>
      <sz val="14"/>
      <color rgb="FFFFFFFF"/>
      <name val="Times New Roman"/>
      <family val="1"/>
    </font>
    <font>
      <sz val="10"/>
      <color rgb="FF1F2937"/>
      <name val="Times New Roman"/>
      <family val="1"/>
    </font>
    <font>
      <i/>
      <sz val="10"/>
      <color rgb="FF1F2937"/>
      <name val="Times New Roman"/>
      <family val="1"/>
    </font>
    <font>
      <b/>
      <sz val="10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rgb="FF1F2937"/>
      <name val="Times New Roman"/>
      <family val="1"/>
    </font>
    <font>
      <b/>
      <sz val="14"/>
      <color rgb="FFFFFFFF"/>
      <name val="Tahoma"/>
      <family val="2"/>
    </font>
    <font>
      <sz val="10"/>
      <color rgb="FF1F2937"/>
      <name val="Tahoma"/>
      <family val="2"/>
    </font>
    <font>
      <i/>
      <sz val="10"/>
      <color rgb="FF1F2937"/>
      <name val="Tahoma"/>
      <family val="2"/>
    </font>
    <font>
      <b/>
      <sz val="10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D3B66"/>
      </patternFill>
    </fill>
    <fill>
      <patternFill patternType="solid">
        <fgColor rgb="FFEAF6F6"/>
      </patternFill>
    </fill>
    <fill>
      <patternFill patternType="solid">
        <fgColor rgb="FF1F7A8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11" fillId="4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/>
    </xf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28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ill>
        <patternFill patternType="solid">
          <bgColor rgb="FFEDE9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1FAE5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Puntos</c:v>
          </c:tx>
          <c:invertIfNegative val="1"/>
          <c:cat>
            <c:numRef>
              <c:f>'Plan por Sprint'!$A$4:$A$19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'Plan por Sprint'!$H$4:$H$19</c:f>
              <c:numCache>
                <c:formatCode>General</c:formatCode>
                <c:ptCount val="16"/>
                <c:pt idx="0">
                  <c:v>16</c:v>
                </c:pt>
                <c:pt idx="1">
                  <c:v>18</c:v>
                </c:pt>
                <c:pt idx="2">
                  <c:v>20</c:v>
                </c:pt>
                <c:pt idx="3">
                  <c:v>21</c:v>
                </c:pt>
                <c:pt idx="4">
                  <c:v>21</c:v>
                </c:pt>
                <c:pt idx="5">
                  <c:v>18</c:v>
                </c:pt>
                <c:pt idx="6">
                  <c:v>15</c:v>
                </c:pt>
                <c:pt idx="7">
                  <c:v>19</c:v>
                </c:pt>
                <c:pt idx="8">
                  <c:v>20</c:v>
                </c:pt>
                <c:pt idx="9">
                  <c:v>18</c:v>
                </c:pt>
                <c:pt idx="10">
                  <c:v>16</c:v>
                </c:pt>
                <c:pt idx="11">
                  <c:v>21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0-4180-9AD7-936636ABF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30301B-8012-4AF3-990D-BDAACC0F407E}" name="ProductBacklogTable10" displayName="ProductBacklogTable10" ref="A3:N59" headerRowDxfId="16" dataDxfId="15" totalsRowDxfId="14">
  <tableColumns count="14">
    <tableColumn id="1" xr3:uid="{7E73E8CD-C2BC-4CD1-BEA6-BA5086C33112}" name="ID" dataDxfId="13"/>
    <tableColumn id="2" xr3:uid="{9112981C-9F6E-4A21-B425-1866382CADAE}" name="Tipo" dataDxfId="12"/>
    <tableColumn id="3" xr3:uid="{1B4B930D-8F58-4D29-AC3B-7DFD22A86C58}" name="Épica / Plataforma" dataDxfId="11"/>
    <tableColumn id="4" xr3:uid="{9DF70973-A8A9-4EA2-8F5F-64FE239E124F}" name="Nombre PBI" dataDxfId="10"/>
    <tableColumn id="5" xr3:uid="{E7D0303B-EC86-4C88-9D33-05362A2C63CC}" name="Descripción" dataDxfId="9"/>
    <tableColumn id="6" xr3:uid="{704065B0-3F2F-4D10-AC7F-FEF1C2FC18C4}" name="Criterios de aceptación" dataDxfId="8"/>
    <tableColumn id="7" xr3:uid="{876CCCAE-2B71-438B-B22F-82EA84CF795E}" name="Prioridad" dataDxfId="7"/>
    <tableColumn id="8" xr3:uid="{108187AA-7DCD-42AB-9577-6138CE4B10EC}" name="Puntos" dataDxfId="6"/>
    <tableColumn id="9" xr3:uid="{8CD53F8E-C95F-4FFA-8D85-512997257E36}" name="Sprint" dataDxfId="5"/>
    <tableColumn id="10" xr3:uid="{E95C1A2F-4A27-45E2-B70B-B7C87CE84E34}" name="Fechas" dataDxfId="4"/>
    <tableColumn id="11" xr3:uid="{83E0AC7F-1F2A-4FBD-964F-6756AE89863D}" name="Estado" dataDxfId="3"/>
    <tableColumn id="12" xr3:uid="{D3E2FF45-6D23-44E2-958D-408909FD0CC1}" name="Repositorio / área" dataDxfId="2"/>
    <tableColumn id="13" xr3:uid="{B60BEBEC-94F9-44D0-A990-690592EE6036}" name="Evidencia" dataDxfId="1"/>
    <tableColumn id="14" xr3:uid="{BFC0013C-A791-4AC3-AA0D-0D99D933EAA4}" name="Dependenci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SprintTable" displayName="PlanSprintTable" ref="A3:J19" headerRowDxfId="127" dataDxfId="126" totalsRowDxfId="125">
  <tableColumns count="10">
    <tableColumn id="1" xr3:uid="{00000000-0010-0000-0000-000001000000}" name="Sprint" dataDxfId="124"/>
    <tableColumn id="2" xr3:uid="{00000000-0010-0000-0000-000002000000}" name="Inicio" dataDxfId="123"/>
    <tableColumn id="3" xr3:uid="{00000000-0010-0000-0000-000003000000}" name="Fin" dataDxfId="122"/>
    <tableColumn id="4" xr3:uid="{00000000-0010-0000-0000-000004000000}" name="Nombre del sprint" dataDxfId="121"/>
    <tableColumn id="5" xr3:uid="{00000000-0010-0000-0000-000005000000}" name="Sprint Goal" dataDxfId="120"/>
    <tableColumn id="6" xr3:uid="{00000000-0010-0000-0000-000006000000}" name="Incremento esperado" dataDxfId="119"/>
    <tableColumn id="7" xr3:uid="{00000000-0010-0000-0000-000007000000}" name="PBIs principales" dataDxfId="118"/>
    <tableColumn id="8" xr3:uid="{00000000-0010-0000-0000-000008000000}" name="Puntos" dataDxfId="117"/>
    <tableColumn id="9" xr3:uid="{00000000-0010-0000-0000-000009000000}" name="Estado" dataDxfId="116"/>
    <tableColumn id="10" xr3:uid="{00000000-0010-0000-0000-00000A000000}" name="Observación" dataDxfId="1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asUsuarioTable" displayName="HistoriasUsuarioTable" ref="A3:L28" headerRowDxfId="114" dataDxfId="113" totalsRowDxfId="112">
  <tableColumns count="12">
    <tableColumn id="1" xr3:uid="{00000000-0010-0000-0100-000001000000}" name="ID" dataDxfId="111"/>
    <tableColumn id="2" xr3:uid="{00000000-0010-0000-0100-000002000000}" name="Nombre" dataDxfId="110"/>
    <tableColumn id="3" xr3:uid="{00000000-0010-0000-0100-000003000000}" name="Rol" dataDxfId="109"/>
    <tableColumn id="4" xr3:uid="{00000000-0010-0000-0100-000004000000}" name="Historia de usuario" dataDxfId="108"/>
    <tableColumn id="5" xr3:uid="{00000000-0010-0000-0100-000005000000}" name="Criterios de aceptación" dataDxfId="107"/>
    <tableColumn id="6" xr3:uid="{00000000-0010-0000-0100-000006000000}" name="Prioridad" dataDxfId="106"/>
    <tableColumn id="7" xr3:uid="{00000000-0010-0000-0100-000007000000}" name="Puntos" dataDxfId="105"/>
    <tableColumn id="8" xr3:uid="{00000000-0010-0000-0100-000008000000}" name="Sprint" dataDxfId="104"/>
    <tableColumn id="9" xr3:uid="{00000000-0010-0000-0100-000009000000}" name="Estado" dataDxfId="103"/>
    <tableColumn id="10" xr3:uid="{00000000-0010-0000-0100-00000A000000}" name="Plataforma" dataDxfId="102"/>
    <tableColumn id="11" xr3:uid="{00000000-0010-0000-0100-00000B000000}" name="Evidencia / ruta" dataDxfId="101"/>
    <tableColumn id="12" xr3:uid="{00000000-0010-0000-0100-00000C000000}" name="Dependencia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storiasTecnicasTable" displayName="HistoriasTecnicasTable" ref="A3:K27" headerRowDxfId="99" dataDxfId="98" totalsRowDxfId="97">
  <tableColumns count="11">
    <tableColumn id="1" xr3:uid="{00000000-0010-0000-0200-000001000000}" name="ID" dataDxfId="96"/>
    <tableColumn id="2" xr3:uid="{00000000-0010-0000-0200-000002000000}" name="Enabler técnico" dataDxfId="95"/>
    <tableColumn id="3" xr3:uid="{00000000-0010-0000-0200-000003000000}" name="Descripción técnica" dataDxfId="94"/>
    <tableColumn id="4" xr3:uid="{00000000-0010-0000-0200-000004000000}" name="Criterios de aceptación" dataDxfId="93"/>
    <tableColumn id="5" xr3:uid="{00000000-0010-0000-0200-000005000000}" name="Prioridad" dataDxfId="92"/>
    <tableColumn id="6" xr3:uid="{00000000-0010-0000-0200-000006000000}" name="Puntos" dataDxfId="91"/>
    <tableColumn id="7" xr3:uid="{00000000-0010-0000-0200-000007000000}" name="Sprint" dataDxfId="90"/>
    <tableColumn id="8" xr3:uid="{00000000-0010-0000-0200-000008000000}" name="Estado" dataDxfId="89"/>
    <tableColumn id="9" xr3:uid="{00000000-0010-0000-0200-000009000000}" name="Plataforma" dataDxfId="88"/>
    <tableColumn id="10" xr3:uid="{00000000-0010-0000-0200-00000A000000}" name="Evidencia / ruta" dataDxfId="87"/>
    <tableColumn id="11" xr3:uid="{00000000-0010-0000-0200-00000B000000}" name="Dependencia" dataDxfId="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BacklogTable" displayName="ProductBacklogTable" ref="A3:N59" headerRowDxfId="85" dataDxfId="84" totalsRowDxfId="83">
  <tableColumns count="14">
    <tableColumn id="1" xr3:uid="{00000000-0010-0000-0300-000001000000}" name="ID" dataDxfId="82"/>
    <tableColumn id="2" xr3:uid="{00000000-0010-0000-0300-000002000000}" name="Tipo" dataDxfId="81"/>
    <tableColumn id="3" xr3:uid="{00000000-0010-0000-0300-000003000000}" name="Épica / Plataforma" dataDxfId="80"/>
    <tableColumn id="4" xr3:uid="{00000000-0010-0000-0300-000004000000}" name="Nombre PBI" dataDxfId="79"/>
    <tableColumn id="5" xr3:uid="{00000000-0010-0000-0300-000005000000}" name="Descripción" dataDxfId="78"/>
    <tableColumn id="6" xr3:uid="{00000000-0010-0000-0300-000006000000}" name="Criterios de aceptación" dataDxfId="77"/>
    <tableColumn id="7" xr3:uid="{00000000-0010-0000-0300-000007000000}" name="Prioridad" dataDxfId="76"/>
    <tableColumn id="8" xr3:uid="{00000000-0010-0000-0300-000008000000}" name="Puntos" dataDxfId="75"/>
    <tableColumn id="9" xr3:uid="{00000000-0010-0000-0300-000009000000}" name="Sprint" dataDxfId="74"/>
    <tableColumn id="10" xr3:uid="{00000000-0010-0000-0300-00000A000000}" name="Fechas" dataDxfId="73"/>
    <tableColumn id="11" xr3:uid="{00000000-0010-0000-0300-00000B000000}" name="Estado" dataDxfId="72"/>
    <tableColumn id="12" xr3:uid="{00000000-0010-0000-0300-00000C000000}" name="Repositorio / área" dataDxfId="71"/>
    <tableColumn id="13" xr3:uid="{00000000-0010-0000-0300-00000D000000}" name="Evidencia" dataDxfId="70"/>
    <tableColumn id="14" xr3:uid="{00000000-0010-0000-0300-00000E000000}" name="Dependencia" dataDxfId="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zabilidadTable" displayName="TrazabilidadTable" ref="A3:F19" headerRowDxfId="68" dataDxfId="67" totalsRowDxfId="66">
  <tableColumns count="6">
    <tableColumn id="1" xr3:uid="{00000000-0010-0000-0400-000001000000}" name="Módulo / funcionalidad" dataDxfId="65"/>
    <tableColumn id="2" xr3:uid="{00000000-0010-0000-0400-000002000000}" name="Repositorio / fuente" dataDxfId="64"/>
    <tableColumn id="3" xr3:uid="{00000000-0010-0000-0400-000003000000}" name="Ruta o artefacto" dataDxfId="63"/>
    <tableColumn id="4" xr3:uid="{00000000-0010-0000-0400-000004000000}" name="Estado" dataDxfId="62"/>
    <tableColumn id="5" xr3:uid="{00000000-0010-0000-0400-000005000000}" name="PBIs relacionados" dataDxfId="61"/>
    <tableColumn id="6" xr3:uid="{00000000-0010-0000-0400-000006000000}" name="Comentario" dataDxfId="6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ctalysisTable" displayName="OctalysisTable" ref="A3:G11" headerRowDxfId="59" dataDxfId="58" totalsRowDxfId="57">
  <tableColumns count="7">
    <tableColumn id="1" xr3:uid="{00000000-0010-0000-0500-000001000000}" name="Core Drive Octalysis" dataDxfId="56"/>
    <tableColumn id="2" xr3:uid="{00000000-0010-0000-0500-000002000000}" name="Interpretación en Riovoley" dataDxfId="55"/>
    <tableColumn id="3" xr3:uid="{00000000-0010-0000-0500-000003000000}" name="Aplicación propuesta" dataDxfId="54"/>
    <tableColumn id="4" xr3:uid="{00000000-0010-0000-0500-000004000000}" name="Mecánica concreta" dataDxfId="53"/>
    <tableColumn id="5" xr3:uid="{00000000-0010-0000-0500-000005000000}" name="PBIs relacionados" dataDxfId="52"/>
    <tableColumn id="6" xr3:uid="{00000000-0010-0000-0500-000006000000}" name="Sprint" dataDxfId="51"/>
    <tableColumn id="7" xr3:uid="{00000000-0010-0000-0500-000007000000}" name="Estado" dataDxfId="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RDoDTable" displayName="DoRDoDTable" ref="A3:D15" headerRowDxfId="49" dataDxfId="48" totalsRowDxfId="47">
  <tableColumns count="4">
    <tableColumn id="1" xr3:uid="{00000000-0010-0000-0600-000001000000}" name="Artefacto Scrum" dataDxfId="46"/>
    <tableColumn id="2" xr3:uid="{00000000-0010-0000-0600-000002000000}" name="Criterio" dataDxfId="45"/>
    <tableColumn id="3" xr3:uid="{00000000-0010-0000-0600-000003000000}" name="Aplicación en Riovoley" dataDxfId="44"/>
    <tableColumn id="4" xr3:uid="{00000000-0010-0000-0600-000004000000}" name="Evidencia esperada" dataDxfId="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uentesTable" displayName="FuentesTable" ref="A3:C10" headerRowDxfId="42" dataDxfId="41" totalsRowDxfId="40">
  <tableColumns count="3">
    <tableColumn id="1" xr3:uid="{00000000-0010-0000-0700-000001000000}" name="Fuente" dataDxfId="39"/>
    <tableColumn id="2" xr3:uid="{00000000-0010-0000-0700-000002000000}" name="URL / referencia" dataDxfId="38"/>
    <tableColumn id="3" xr3:uid="{00000000-0010-0000-0700-000003000000}" name="Uso en el ajuste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944A-2653-4DF8-8335-CD8B97E657D6}">
  <dimension ref="A1:N200"/>
  <sheetViews>
    <sheetView workbookViewId="0">
      <selection activeCell="H8" sqref="H8"/>
    </sheetView>
  </sheetViews>
  <sheetFormatPr baseColWidth="10" defaultColWidth="9" defaultRowHeight="14.25"/>
  <cols>
    <col min="1" max="1" width="10" customWidth="1"/>
    <col min="2" max="2" width="18" customWidth="1"/>
    <col min="3" max="3" width="20" customWidth="1"/>
    <col min="4" max="4" width="34" customWidth="1"/>
    <col min="5" max="5" width="60" customWidth="1"/>
    <col min="6" max="6" width="68" customWidth="1"/>
    <col min="7" max="7" width="12" customWidth="1"/>
    <col min="8" max="9" width="10" customWidth="1"/>
    <col min="10" max="10" width="20" hidden="1" customWidth="1"/>
    <col min="11" max="11" width="26" hidden="1" customWidth="1"/>
    <col min="12" max="12" width="20" hidden="1" customWidth="1"/>
    <col min="13" max="13" width="45" hidden="1" customWidth="1"/>
    <col min="14" max="14" width="24" hidden="1" customWidth="1"/>
  </cols>
  <sheetData>
    <row r="1" spans="1:14" ht="27.95" customHeight="1">
      <c r="A1" s="14" t="s">
        <v>442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 t="s">
        <v>443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0" customHeight="1">
      <c r="A3" s="6" t="s">
        <v>157</v>
      </c>
      <c r="B3" s="6" t="s">
        <v>444</v>
      </c>
      <c r="C3" s="6" t="s">
        <v>445</v>
      </c>
      <c r="D3" s="6" t="s">
        <v>446</v>
      </c>
      <c r="E3" s="6" t="s">
        <v>447</v>
      </c>
      <c r="F3" s="6" t="s">
        <v>161</v>
      </c>
      <c r="G3" s="6" t="s">
        <v>162</v>
      </c>
      <c r="H3" s="6" t="s">
        <v>66</v>
      </c>
      <c r="I3" s="6" t="s">
        <v>59</v>
      </c>
      <c r="J3" s="6" t="s">
        <v>448</v>
      </c>
      <c r="K3" s="6" t="s">
        <v>67</v>
      </c>
      <c r="L3" s="6" t="s">
        <v>449</v>
      </c>
      <c r="M3" s="6" t="s">
        <v>450</v>
      </c>
      <c r="N3" s="6" t="s">
        <v>165</v>
      </c>
    </row>
    <row r="4" spans="1:14" ht="48" customHeight="1">
      <c r="A4" s="7" t="s">
        <v>318</v>
      </c>
      <c r="B4" s="7" t="s">
        <v>316</v>
      </c>
      <c r="C4" s="7" t="s">
        <v>172</v>
      </c>
      <c r="D4" s="7" t="s">
        <v>319</v>
      </c>
      <c r="E4" s="7" t="s">
        <v>320</v>
      </c>
      <c r="F4" s="7" t="s">
        <v>321</v>
      </c>
      <c r="G4" s="7" t="s">
        <v>171</v>
      </c>
      <c r="H4" s="7">
        <v>5</v>
      </c>
      <c r="I4" s="7">
        <v>1</v>
      </c>
      <c r="J4" s="7" t="s">
        <v>451</v>
      </c>
      <c r="K4" s="7" t="s">
        <v>78</v>
      </c>
      <c r="L4" s="7" t="s">
        <v>172</v>
      </c>
      <c r="M4" s="7" t="s">
        <v>322</v>
      </c>
      <c r="N4" s="7" t="s">
        <v>323</v>
      </c>
    </row>
    <row r="5" spans="1:14" ht="48" customHeight="1">
      <c r="A5" s="7" t="s">
        <v>324</v>
      </c>
      <c r="B5" s="7" t="s">
        <v>316</v>
      </c>
      <c r="C5" s="7" t="s">
        <v>172</v>
      </c>
      <c r="D5" s="7" t="s">
        <v>325</v>
      </c>
      <c r="E5" s="7" t="s">
        <v>326</v>
      </c>
      <c r="F5" s="7" t="s">
        <v>327</v>
      </c>
      <c r="G5" s="7" t="s">
        <v>171</v>
      </c>
      <c r="H5" s="7">
        <v>5</v>
      </c>
      <c r="I5" s="7">
        <v>1</v>
      </c>
      <c r="J5" s="7" t="s">
        <v>451</v>
      </c>
      <c r="K5" s="7" t="s">
        <v>72</v>
      </c>
      <c r="L5" s="7" t="s">
        <v>172</v>
      </c>
      <c r="M5" s="7" t="s">
        <v>328</v>
      </c>
      <c r="N5" s="7" t="s">
        <v>318</v>
      </c>
    </row>
    <row r="6" spans="1:14" ht="48" customHeight="1">
      <c r="A6" s="7" t="s">
        <v>329</v>
      </c>
      <c r="B6" s="7" t="s">
        <v>316</v>
      </c>
      <c r="C6" s="7" t="s">
        <v>334</v>
      </c>
      <c r="D6" s="7" t="s">
        <v>330</v>
      </c>
      <c r="E6" s="7" t="s">
        <v>331</v>
      </c>
      <c r="F6" s="7" t="s">
        <v>332</v>
      </c>
      <c r="G6" s="7" t="s">
        <v>171</v>
      </c>
      <c r="H6" s="7">
        <v>3</v>
      </c>
      <c r="I6" s="7">
        <v>1</v>
      </c>
      <c r="J6" s="7" t="s">
        <v>451</v>
      </c>
      <c r="K6" s="7" t="s">
        <v>333</v>
      </c>
      <c r="L6" s="7" t="s">
        <v>334</v>
      </c>
      <c r="M6" s="7" t="s">
        <v>335</v>
      </c>
      <c r="N6" s="7" t="s">
        <v>324</v>
      </c>
    </row>
    <row r="7" spans="1:14" ht="48" customHeight="1">
      <c r="A7" s="7" t="s">
        <v>174</v>
      </c>
      <c r="B7" s="7" t="s">
        <v>316</v>
      </c>
      <c r="C7" s="7" t="s">
        <v>339</v>
      </c>
      <c r="D7" s="7" t="s">
        <v>336</v>
      </c>
      <c r="E7" s="7" t="s">
        <v>337</v>
      </c>
      <c r="F7" s="7" t="s">
        <v>338</v>
      </c>
      <c r="G7" s="7" t="s">
        <v>171</v>
      </c>
      <c r="H7" s="7">
        <v>8</v>
      </c>
      <c r="I7" s="7">
        <v>1</v>
      </c>
      <c r="J7" s="7" t="s">
        <v>451</v>
      </c>
      <c r="K7" s="7" t="s">
        <v>78</v>
      </c>
      <c r="L7" s="7" t="s">
        <v>339</v>
      </c>
      <c r="M7" s="7" t="s">
        <v>340</v>
      </c>
      <c r="N7" s="7" t="s">
        <v>324</v>
      </c>
    </row>
    <row r="8" spans="1:14" ht="48" customHeight="1">
      <c r="A8" s="7" t="s">
        <v>341</v>
      </c>
      <c r="B8" s="7" t="s">
        <v>316</v>
      </c>
      <c r="C8" s="7" t="s">
        <v>172</v>
      </c>
      <c r="D8" s="7" t="s">
        <v>342</v>
      </c>
      <c r="E8" s="7" t="s">
        <v>343</v>
      </c>
      <c r="F8" s="7" t="s">
        <v>344</v>
      </c>
      <c r="G8" s="7" t="s">
        <v>171</v>
      </c>
      <c r="H8" s="7">
        <v>8</v>
      </c>
      <c r="I8" s="7">
        <v>2</v>
      </c>
      <c r="J8" s="7" t="s">
        <v>452</v>
      </c>
      <c r="K8" s="7" t="s">
        <v>78</v>
      </c>
      <c r="L8" s="7" t="s">
        <v>172</v>
      </c>
      <c r="M8" s="7" t="s">
        <v>345</v>
      </c>
      <c r="N8" s="7" t="s">
        <v>174</v>
      </c>
    </row>
    <row r="9" spans="1:14" ht="48" customHeight="1">
      <c r="A9" s="7" t="s">
        <v>166</v>
      </c>
      <c r="B9" s="7" t="s">
        <v>160</v>
      </c>
      <c r="C9" s="7" t="s">
        <v>172</v>
      </c>
      <c r="D9" s="7" t="s">
        <v>167</v>
      </c>
      <c r="E9" s="7" t="s">
        <v>169</v>
      </c>
      <c r="F9" s="7" t="s">
        <v>170</v>
      </c>
      <c r="G9" s="7" t="s">
        <v>171</v>
      </c>
      <c r="H9" s="7">
        <v>8</v>
      </c>
      <c r="I9" s="7">
        <v>2</v>
      </c>
      <c r="J9" s="7" t="s">
        <v>452</v>
      </c>
      <c r="K9" s="7" t="s">
        <v>78</v>
      </c>
      <c r="L9" s="7" t="s">
        <v>172</v>
      </c>
      <c r="M9" s="7" t="s">
        <v>173</v>
      </c>
      <c r="N9" s="7" t="s">
        <v>174</v>
      </c>
    </row>
    <row r="10" spans="1:14" ht="48" customHeight="1">
      <c r="A10" s="7" t="s">
        <v>175</v>
      </c>
      <c r="B10" s="7" t="s">
        <v>160</v>
      </c>
      <c r="C10" s="7" t="s">
        <v>172</v>
      </c>
      <c r="D10" s="7" t="s">
        <v>176</v>
      </c>
      <c r="E10" s="7" t="s">
        <v>178</v>
      </c>
      <c r="F10" s="7" t="s">
        <v>179</v>
      </c>
      <c r="G10" s="7" t="s">
        <v>171</v>
      </c>
      <c r="H10" s="7">
        <v>10</v>
      </c>
      <c r="I10" s="7">
        <v>2</v>
      </c>
      <c r="J10" s="7" t="s">
        <v>452</v>
      </c>
      <c r="K10" s="7" t="s">
        <v>78</v>
      </c>
      <c r="L10" s="7" t="s">
        <v>172</v>
      </c>
      <c r="M10" s="7" t="s">
        <v>180</v>
      </c>
      <c r="N10" s="7" t="s">
        <v>166</v>
      </c>
    </row>
    <row r="11" spans="1:14" ht="48" customHeight="1">
      <c r="A11" s="7" t="s">
        <v>346</v>
      </c>
      <c r="B11" s="7" t="s">
        <v>316</v>
      </c>
      <c r="C11" s="7" t="s">
        <v>172</v>
      </c>
      <c r="D11" s="7" t="s">
        <v>347</v>
      </c>
      <c r="E11" s="7" t="s">
        <v>348</v>
      </c>
      <c r="F11" s="7" t="s">
        <v>349</v>
      </c>
      <c r="G11" s="7" t="s">
        <v>171</v>
      </c>
      <c r="H11" s="7">
        <v>8</v>
      </c>
      <c r="I11" s="7">
        <v>3</v>
      </c>
      <c r="J11" s="7" t="s">
        <v>453</v>
      </c>
      <c r="K11" s="7" t="s">
        <v>78</v>
      </c>
      <c r="L11" s="7" t="s">
        <v>172</v>
      </c>
      <c r="M11" s="7" t="s">
        <v>350</v>
      </c>
      <c r="N11" s="7" t="s">
        <v>174</v>
      </c>
    </row>
    <row r="12" spans="1:14" ht="48" customHeight="1">
      <c r="A12" s="7" t="s">
        <v>181</v>
      </c>
      <c r="B12" s="7" t="s">
        <v>160</v>
      </c>
      <c r="C12" s="7" t="s">
        <v>172</v>
      </c>
      <c r="D12" s="7" t="s">
        <v>182</v>
      </c>
      <c r="E12" s="7" t="s">
        <v>184</v>
      </c>
      <c r="F12" s="7" t="s">
        <v>185</v>
      </c>
      <c r="G12" s="7" t="s">
        <v>171</v>
      </c>
      <c r="H12" s="7">
        <v>8</v>
      </c>
      <c r="I12" s="7">
        <v>3</v>
      </c>
      <c r="J12" s="7" t="s">
        <v>453</v>
      </c>
      <c r="K12" s="7" t="s">
        <v>78</v>
      </c>
      <c r="L12" s="7" t="s">
        <v>172</v>
      </c>
      <c r="M12" s="7" t="s">
        <v>186</v>
      </c>
      <c r="N12" s="7" t="s">
        <v>166</v>
      </c>
    </row>
    <row r="13" spans="1:14" ht="48" customHeight="1">
      <c r="A13" s="7" t="s">
        <v>187</v>
      </c>
      <c r="B13" s="7" t="s">
        <v>160</v>
      </c>
      <c r="C13" s="7" t="s">
        <v>172</v>
      </c>
      <c r="D13" s="7" t="s">
        <v>188</v>
      </c>
      <c r="E13" s="7" t="s">
        <v>190</v>
      </c>
      <c r="F13" s="7" t="s">
        <v>191</v>
      </c>
      <c r="G13" s="7" t="s">
        <v>171</v>
      </c>
      <c r="H13" s="7">
        <v>8</v>
      </c>
      <c r="I13" s="7">
        <v>3</v>
      </c>
      <c r="J13" s="7" t="s">
        <v>453</v>
      </c>
      <c r="K13" s="7" t="s">
        <v>78</v>
      </c>
      <c r="L13" s="7" t="s">
        <v>172</v>
      </c>
      <c r="M13" s="7" t="s">
        <v>192</v>
      </c>
      <c r="N13" s="7" t="s">
        <v>181</v>
      </c>
    </row>
    <row r="14" spans="1:14" ht="48" customHeight="1">
      <c r="A14" s="7" t="s">
        <v>351</v>
      </c>
      <c r="B14" s="7" t="s">
        <v>316</v>
      </c>
      <c r="C14" s="7" t="s">
        <v>172</v>
      </c>
      <c r="D14" s="7" t="s">
        <v>352</v>
      </c>
      <c r="E14" s="7" t="s">
        <v>353</v>
      </c>
      <c r="F14" s="7" t="s">
        <v>354</v>
      </c>
      <c r="G14" s="7" t="s">
        <v>171</v>
      </c>
      <c r="H14" s="7">
        <v>8</v>
      </c>
      <c r="I14" s="7">
        <v>4</v>
      </c>
      <c r="J14" s="7" t="s">
        <v>454</v>
      </c>
      <c r="K14" s="7" t="s">
        <v>78</v>
      </c>
      <c r="L14" s="7" t="s">
        <v>172</v>
      </c>
      <c r="M14" s="7" t="s">
        <v>355</v>
      </c>
      <c r="N14" s="7" t="s">
        <v>346</v>
      </c>
    </row>
    <row r="15" spans="1:14" ht="48" customHeight="1">
      <c r="A15" s="7" t="s">
        <v>193</v>
      </c>
      <c r="B15" s="7" t="s">
        <v>160</v>
      </c>
      <c r="C15" s="7" t="s">
        <v>172</v>
      </c>
      <c r="D15" s="7" t="s">
        <v>194</v>
      </c>
      <c r="E15" s="7" t="s">
        <v>195</v>
      </c>
      <c r="F15" s="7" t="s">
        <v>196</v>
      </c>
      <c r="G15" s="7" t="s">
        <v>171</v>
      </c>
      <c r="H15" s="7">
        <v>8</v>
      </c>
      <c r="I15" s="7">
        <v>4</v>
      </c>
      <c r="J15" s="7" t="s">
        <v>454</v>
      </c>
      <c r="K15" s="7" t="s">
        <v>78</v>
      </c>
      <c r="L15" s="7" t="s">
        <v>172</v>
      </c>
      <c r="M15" s="7" t="s">
        <v>197</v>
      </c>
      <c r="N15" s="7" t="s">
        <v>187</v>
      </c>
    </row>
    <row r="16" spans="1:14" ht="48" customHeight="1">
      <c r="A16" s="7" t="s">
        <v>198</v>
      </c>
      <c r="B16" s="7" t="s">
        <v>160</v>
      </c>
      <c r="C16" s="7" t="s">
        <v>172</v>
      </c>
      <c r="D16" s="7" t="s">
        <v>199</v>
      </c>
      <c r="E16" s="7" t="s">
        <v>201</v>
      </c>
      <c r="F16" s="7" t="s">
        <v>202</v>
      </c>
      <c r="G16" s="7" t="s">
        <v>171</v>
      </c>
      <c r="H16" s="7">
        <v>13</v>
      </c>
      <c r="I16" s="7">
        <v>4</v>
      </c>
      <c r="J16" s="7" t="s">
        <v>454</v>
      </c>
      <c r="K16" s="7" t="s">
        <v>78</v>
      </c>
      <c r="L16" s="7" t="s">
        <v>172</v>
      </c>
      <c r="M16" s="7" t="s">
        <v>203</v>
      </c>
      <c r="N16" s="7" t="s">
        <v>204</v>
      </c>
    </row>
    <row r="17" spans="1:14" ht="48" customHeight="1">
      <c r="A17" s="7" t="s">
        <v>356</v>
      </c>
      <c r="B17" s="7" t="s">
        <v>316</v>
      </c>
      <c r="C17" s="7" t="s">
        <v>172</v>
      </c>
      <c r="D17" s="7" t="s">
        <v>357</v>
      </c>
      <c r="E17" s="7" t="s">
        <v>358</v>
      </c>
      <c r="F17" s="7" t="s">
        <v>359</v>
      </c>
      <c r="G17" s="7" t="s">
        <v>171</v>
      </c>
      <c r="H17" s="7">
        <v>8</v>
      </c>
      <c r="I17" s="7">
        <v>5</v>
      </c>
      <c r="J17" s="7" t="s">
        <v>455</v>
      </c>
      <c r="K17" s="7" t="s">
        <v>78</v>
      </c>
      <c r="L17" s="7" t="s">
        <v>172</v>
      </c>
      <c r="M17" s="7" t="s">
        <v>360</v>
      </c>
      <c r="N17" s="7" t="s">
        <v>346</v>
      </c>
    </row>
    <row r="18" spans="1:14" ht="48" customHeight="1">
      <c r="A18" s="7" t="s">
        <v>205</v>
      </c>
      <c r="B18" s="7" t="s">
        <v>160</v>
      </c>
      <c r="C18" s="7" t="s">
        <v>172</v>
      </c>
      <c r="D18" s="7" t="s">
        <v>206</v>
      </c>
      <c r="E18" s="7" t="s">
        <v>207</v>
      </c>
      <c r="F18" s="7" t="s">
        <v>208</v>
      </c>
      <c r="G18" s="7" t="s">
        <v>171</v>
      </c>
      <c r="H18" s="7">
        <v>13</v>
      </c>
      <c r="I18" s="7">
        <v>5</v>
      </c>
      <c r="J18" s="7" t="s">
        <v>455</v>
      </c>
      <c r="K18" s="7" t="s">
        <v>78</v>
      </c>
      <c r="L18" s="7" t="s">
        <v>172</v>
      </c>
      <c r="M18" s="7" t="s">
        <v>209</v>
      </c>
      <c r="N18" s="7" t="s">
        <v>187</v>
      </c>
    </row>
    <row r="19" spans="1:14" ht="48" customHeight="1">
      <c r="A19" s="7" t="s">
        <v>210</v>
      </c>
      <c r="B19" s="7" t="s">
        <v>160</v>
      </c>
      <c r="C19" s="7" t="s">
        <v>172</v>
      </c>
      <c r="D19" s="7" t="s">
        <v>211</v>
      </c>
      <c r="E19" s="7" t="s">
        <v>212</v>
      </c>
      <c r="F19" s="7" t="s">
        <v>213</v>
      </c>
      <c r="G19" s="7" t="s">
        <v>171</v>
      </c>
      <c r="H19" s="7">
        <v>8</v>
      </c>
      <c r="I19" s="7">
        <v>5</v>
      </c>
      <c r="J19" s="7" t="s">
        <v>455</v>
      </c>
      <c r="K19" s="7" t="s">
        <v>78</v>
      </c>
      <c r="L19" s="7" t="s">
        <v>172</v>
      </c>
      <c r="M19" s="7" t="s">
        <v>214</v>
      </c>
      <c r="N19" s="7" t="s">
        <v>205</v>
      </c>
    </row>
    <row r="20" spans="1:14" ht="48" customHeight="1">
      <c r="A20" s="7" t="s">
        <v>361</v>
      </c>
      <c r="B20" s="7" t="s">
        <v>316</v>
      </c>
      <c r="C20" s="7" t="s">
        <v>172</v>
      </c>
      <c r="D20" s="7" t="s">
        <v>362</v>
      </c>
      <c r="E20" s="7" t="s">
        <v>363</v>
      </c>
      <c r="F20" s="7" t="s">
        <v>364</v>
      </c>
      <c r="G20" s="7" t="s">
        <v>171</v>
      </c>
      <c r="H20" s="7">
        <v>8</v>
      </c>
      <c r="I20" s="7">
        <v>6</v>
      </c>
      <c r="J20" s="7" t="s">
        <v>456</v>
      </c>
      <c r="K20" s="7" t="s">
        <v>78</v>
      </c>
      <c r="L20" s="7" t="s">
        <v>172</v>
      </c>
      <c r="M20" s="7" t="s">
        <v>365</v>
      </c>
      <c r="N20" s="7" t="s">
        <v>346</v>
      </c>
    </row>
    <row r="21" spans="1:14" ht="48" customHeight="1">
      <c r="A21" s="7" t="s">
        <v>215</v>
      </c>
      <c r="B21" s="7" t="s">
        <v>160</v>
      </c>
      <c r="C21" s="7" t="s">
        <v>172</v>
      </c>
      <c r="D21" s="7" t="s">
        <v>216</v>
      </c>
      <c r="E21" s="7" t="s">
        <v>217</v>
      </c>
      <c r="F21" s="7" t="s">
        <v>218</v>
      </c>
      <c r="G21" s="7" t="s">
        <v>171</v>
      </c>
      <c r="H21" s="7">
        <v>13</v>
      </c>
      <c r="I21" s="7">
        <v>6</v>
      </c>
      <c r="J21" s="7" t="s">
        <v>456</v>
      </c>
      <c r="K21" s="7" t="s">
        <v>78</v>
      </c>
      <c r="L21" s="7" t="s">
        <v>172</v>
      </c>
      <c r="M21" s="7" t="s">
        <v>219</v>
      </c>
      <c r="N21" s="7" t="s">
        <v>187</v>
      </c>
    </row>
    <row r="22" spans="1:14" ht="48" customHeight="1">
      <c r="A22" s="7" t="s">
        <v>220</v>
      </c>
      <c r="B22" s="7" t="s">
        <v>160</v>
      </c>
      <c r="C22" s="7" t="s">
        <v>172</v>
      </c>
      <c r="D22" s="7" t="s">
        <v>221</v>
      </c>
      <c r="E22" s="7" t="s">
        <v>223</v>
      </c>
      <c r="F22" s="7" t="s">
        <v>224</v>
      </c>
      <c r="G22" s="7" t="s">
        <v>225</v>
      </c>
      <c r="H22" s="7">
        <v>8</v>
      </c>
      <c r="I22" s="7">
        <v>6</v>
      </c>
      <c r="J22" s="7" t="s">
        <v>456</v>
      </c>
      <c r="K22" s="7" t="s">
        <v>109</v>
      </c>
      <c r="L22" s="7" t="s">
        <v>172</v>
      </c>
      <c r="M22" s="7" t="s">
        <v>226</v>
      </c>
      <c r="N22" s="7" t="s">
        <v>215</v>
      </c>
    </row>
    <row r="23" spans="1:14" ht="48" customHeight="1">
      <c r="A23" s="7" t="s">
        <v>366</v>
      </c>
      <c r="B23" s="7" t="s">
        <v>316</v>
      </c>
      <c r="C23" s="7" t="s">
        <v>172</v>
      </c>
      <c r="D23" s="7" t="s">
        <v>367</v>
      </c>
      <c r="E23" s="7" t="s">
        <v>368</v>
      </c>
      <c r="F23" s="7" t="s">
        <v>369</v>
      </c>
      <c r="G23" s="7" t="s">
        <v>171</v>
      </c>
      <c r="H23" s="7">
        <v>5</v>
      </c>
      <c r="I23" s="7">
        <v>7</v>
      </c>
      <c r="J23" s="7" t="s">
        <v>457</v>
      </c>
      <c r="K23" s="7" t="s">
        <v>78</v>
      </c>
      <c r="L23" s="7" t="s">
        <v>172</v>
      </c>
      <c r="M23" s="7" t="s">
        <v>370</v>
      </c>
      <c r="N23" s="7" t="s">
        <v>346</v>
      </c>
    </row>
    <row r="24" spans="1:14" ht="48" customHeight="1">
      <c r="A24" s="7" t="s">
        <v>227</v>
      </c>
      <c r="B24" s="7" t="s">
        <v>160</v>
      </c>
      <c r="C24" s="7" t="s">
        <v>172</v>
      </c>
      <c r="D24" s="7" t="s">
        <v>228</v>
      </c>
      <c r="E24" s="7" t="s">
        <v>229</v>
      </c>
      <c r="F24" s="7" t="s">
        <v>230</v>
      </c>
      <c r="G24" s="7" t="s">
        <v>171</v>
      </c>
      <c r="H24" s="7">
        <v>8</v>
      </c>
      <c r="I24" s="7">
        <v>7</v>
      </c>
      <c r="J24" s="7" t="s">
        <v>457</v>
      </c>
      <c r="K24" s="7" t="s">
        <v>78</v>
      </c>
      <c r="L24" s="7" t="s">
        <v>172</v>
      </c>
      <c r="M24" s="7" t="s">
        <v>231</v>
      </c>
      <c r="N24" s="7" t="s">
        <v>175</v>
      </c>
    </row>
    <row r="25" spans="1:14" ht="48" customHeight="1">
      <c r="A25" s="7" t="s">
        <v>232</v>
      </c>
      <c r="B25" s="7" t="s">
        <v>160</v>
      </c>
      <c r="C25" s="7" t="s">
        <v>172</v>
      </c>
      <c r="D25" s="7" t="s">
        <v>233</v>
      </c>
      <c r="E25" s="7" t="s">
        <v>234</v>
      </c>
      <c r="F25" s="7" t="s">
        <v>235</v>
      </c>
      <c r="G25" s="7" t="s">
        <v>225</v>
      </c>
      <c r="H25" s="7">
        <v>5</v>
      </c>
      <c r="I25" s="7">
        <v>7</v>
      </c>
      <c r="J25" s="7" t="s">
        <v>457</v>
      </c>
      <c r="K25" s="7" t="s">
        <v>78</v>
      </c>
      <c r="L25" s="7" t="s">
        <v>172</v>
      </c>
      <c r="M25" s="7" t="s">
        <v>236</v>
      </c>
      <c r="N25" s="7" t="s">
        <v>227</v>
      </c>
    </row>
    <row r="26" spans="1:14" ht="48" customHeight="1">
      <c r="A26" s="7" t="s">
        <v>371</v>
      </c>
      <c r="B26" s="7" t="s">
        <v>316</v>
      </c>
      <c r="C26" s="7" t="s">
        <v>172</v>
      </c>
      <c r="D26" s="7" t="s">
        <v>372</v>
      </c>
      <c r="E26" s="7" t="s">
        <v>373</v>
      </c>
      <c r="F26" s="7" t="s">
        <v>374</v>
      </c>
      <c r="G26" s="7" t="s">
        <v>171</v>
      </c>
      <c r="H26" s="7">
        <v>5</v>
      </c>
      <c r="I26" s="7">
        <v>8</v>
      </c>
      <c r="J26" s="7" t="s">
        <v>458</v>
      </c>
      <c r="K26" s="7" t="s">
        <v>78</v>
      </c>
      <c r="L26" s="7" t="s">
        <v>172</v>
      </c>
      <c r="M26" s="7" t="s">
        <v>375</v>
      </c>
      <c r="N26" s="7" t="s">
        <v>376</v>
      </c>
    </row>
    <row r="27" spans="1:14" ht="48" customHeight="1">
      <c r="A27" s="7" t="s">
        <v>237</v>
      </c>
      <c r="B27" s="7" t="s">
        <v>160</v>
      </c>
      <c r="C27" s="7" t="s">
        <v>172</v>
      </c>
      <c r="D27" s="7" t="s">
        <v>238</v>
      </c>
      <c r="E27" s="7" t="s">
        <v>240</v>
      </c>
      <c r="F27" s="7" t="s">
        <v>241</v>
      </c>
      <c r="G27" s="7" t="s">
        <v>171</v>
      </c>
      <c r="H27" s="7">
        <v>8</v>
      </c>
      <c r="I27" s="7">
        <v>8</v>
      </c>
      <c r="J27" s="7" t="s">
        <v>458</v>
      </c>
      <c r="K27" s="7" t="s">
        <v>78</v>
      </c>
      <c r="L27" s="7" t="s">
        <v>172</v>
      </c>
      <c r="M27" s="7" t="s">
        <v>242</v>
      </c>
      <c r="N27" s="7" t="s">
        <v>243</v>
      </c>
    </row>
    <row r="28" spans="1:14" ht="48" customHeight="1">
      <c r="A28" s="7" t="s">
        <v>377</v>
      </c>
      <c r="B28" s="7" t="s">
        <v>316</v>
      </c>
      <c r="C28" s="7" t="s">
        <v>172</v>
      </c>
      <c r="D28" s="7" t="s">
        <v>378</v>
      </c>
      <c r="E28" s="7" t="s">
        <v>379</v>
      </c>
      <c r="F28" s="7" t="s">
        <v>380</v>
      </c>
      <c r="G28" s="7" t="s">
        <v>225</v>
      </c>
      <c r="H28" s="7">
        <v>8</v>
      </c>
      <c r="I28" s="7">
        <v>8</v>
      </c>
      <c r="J28" s="7" t="s">
        <v>458</v>
      </c>
      <c r="K28" s="7" t="s">
        <v>109</v>
      </c>
      <c r="L28" s="7" t="s">
        <v>172</v>
      </c>
      <c r="M28" s="7" t="s">
        <v>381</v>
      </c>
      <c r="N28" s="7" t="s">
        <v>244</v>
      </c>
    </row>
    <row r="29" spans="1:14" ht="48" customHeight="1">
      <c r="A29" s="7" t="s">
        <v>244</v>
      </c>
      <c r="B29" s="7" t="s">
        <v>160</v>
      </c>
      <c r="C29" s="7" t="s">
        <v>172</v>
      </c>
      <c r="D29" s="7" t="s">
        <v>245</v>
      </c>
      <c r="E29" s="7" t="s">
        <v>246</v>
      </c>
      <c r="F29" s="7" t="s">
        <v>247</v>
      </c>
      <c r="G29" s="7" t="s">
        <v>225</v>
      </c>
      <c r="H29" s="7">
        <v>8</v>
      </c>
      <c r="I29" s="7">
        <v>8</v>
      </c>
      <c r="J29" s="7" t="s">
        <v>458</v>
      </c>
      <c r="K29" s="7" t="s">
        <v>109</v>
      </c>
      <c r="L29" s="7" t="s">
        <v>172</v>
      </c>
      <c r="M29" s="7" t="s">
        <v>248</v>
      </c>
      <c r="N29" s="7" t="s">
        <v>249</v>
      </c>
    </row>
    <row r="30" spans="1:14" ht="48" customHeight="1">
      <c r="A30" s="7" t="s">
        <v>382</v>
      </c>
      <c r="B30" s="7" t="s">
        <v>316</v>
      </c>
      <c r="C30" s="7" t="s">
        <v>256</v>
      </c>
      <c r="D30" s="7" t="s">
        <v>383</v>
      </c>
      <c r="E30" s="7" t="s">
        <v>384</v>
      </c>
      <c r="F30" s="7" t="s">
        <v>385</v>
      </c>
      <c r="G30" s="7" t="s">
        <v>225</v>
      </c>
      <c r="H30" s="7">
        <v>8</v>
      </c>
      <c r="I30" s="7">
        <v>9</v>
      </c>
      <c r="J30" s="7" t="s">
        <v>459</v>
      </c>
      <c r="K30" s="7" t="s">
        <v>255</v>
      </c>
      <c r="L30" s="7" t="s">
        <v>256</v>
      </c>
      <c r="M30" s="7" t="s">
        <v>386</v>
      </c>
      <c r="N30" s="7" t="s">
        <v>387</v>
      </c>
    </row>
    <row r="31" spans="1:14" ht="48" customHeight="1">
      <c r="A31" s="7" t="s">
        <v>250</v>
      </c>
      <c r="B31" s="7" t="s">
        <v>160</v>
      </c>
      <c r="C31" s="7" t="s">
        <v>256</v>
      </c>
      <c r="D31" s="7" t="s">
        <v>251</v>
      </c>
      <c r="E31" s="7" t="s">
        <v>253</v>
      </c>
      <c r="F31" s="7" t="s">
        <v>254</v>
      </c>
      <c r="G31" s="7" t="s">
        <v>225</v>
      </c>
      <c r="H31" s="7">
        <v>8</v>
      </c>
      <c r="I31" s="7">
        <v>9</v>
      </c>
      <c r="J31" s="7" t="s">
        <v>459</v>
      </c>
      <c r="K31" s="7" t="s">
        <v>255</v>
      </c>
      <c r="L31" s="7" t="s">
        <v>256</v>
      </c>
      <c r="M31" s="7" t="s">
        <v>257</v>
      </c>
      <c r="N31" s="7" t="s">
        <v>258</v>
      </c>
    </row>
    <row r="32" spans="1:14" ht="48" customHeight="1">
      <c r="A32" s="7" t="s">
        <v>259</v>
      </c>
      <c r="B32" s="7" t="s">
        <v>160</v>
      </c>
      <c r="C32" s="7" t="s">
        <v>256</v>
      </c>
      <c r="D32" s="7" t="s">
        <v>260</v>
      </c>
      <c r="E32" s="7" t="s">
        <v>262</v>
      </c>
      <c r="F32" s="7" t="s">
        <v>263</v>
      </c>
      <c r="G32" s="7" t="s">
        <v>225</v>
      </c>
      <c r="H32" s="7">
        <v>8</v>
      </c>
      <c r="I32" s="7">
        <v>9</v>
      </c>
      <c r="J32" s="7" t="s">
        <v>459</v>
      </c>
      <c r="K32" s="7" t="s">
        <v>255</v>
      </c>
      <c r="L32" s="7" t="s">
        <v>256</v>
      </c>
      <c r="M32" s="7" t="s">
        <v>257</v>
      </c>
      <c r="N32" s="7" t="s">
        <v>250</v>
      </c>
    </row>
    <row r="33" spans="1:14" ht="48" customHeight="1">
      <c r="A33" s="7" t="s">
        <v>388</v>
      </c>
      <c r="B33" s="7" t="s">
        <v>316</v>
      </c>
      <c r="C33" s="7" t="s">
        <v>269</v>
      </c>
      <c r="D33" s="7" t="s">
        <v>389</v>
      </c>
      <c r="E33" s="7" t="s">
        <v>390</v>
      </c>
      <c r="F33" s="7" t="s">
        <v>391</v>
      </c>
      <c r="G33" s="7" t="s">
        <v>171</v>
      </c>
      <c r="H33" s="7">
        <v>5</v>
      </c>
      <c r="I33" s="7">
        <v>10</v>
      </c>
      <c r="J33" s="7" t="s">
        <v>460</v>
      </c>
      <c r="K33" s="7" t="s">
        <v>121</v>
      </c>
      <c r="L33" s="7" t="s">
        <v>269</v>
      </c>
      <c r="M33" s="7" t="s">
        <v>392</v>
      </c>
      <c r="N33" s="7" t="s">
        <v>174</v>
      </c>
    </row>
    <row r="34" spans="1:14" ht="48" customHeight="1">
      <c r="A34" s="7" t="s">
        <v>393</v>
      </c>
      <c r="B34" s="7" t="s">
        <v>316</v>
      </c>
      <c r="C34" s="7" t="s">
        <v>269</v>
      </c>
      <c r="D34" s="7" t="s">
        <v>394</v>
      </c>
      <c r="E34" s="7" t="s">
        <v>395</v>
      </c>
      <c r="F34" s="7" t="s">
        <v>396</v>
      </c>
      <c r="G34" s="7" t="s">
        <v>171</v>
      </c>
      <c r="H34" s="7">
        <v>5</v>
      </c>
      <c r="I34" s="7">
        <v>10</v>
      </c>
      <c r="J34" s="7" t="s">
        <v>460</v>
      </c>
      <c r="K34" s="7" t="s">
        <v>121</v>
      </c>
      <c r="L34" s="7" t="s">
        <v>269</v>
      </c>
      <c r="M34" s="7" t="s">
        <v>397</v>
      </c>
      <c r="N34" s="7" t="s">
        <v>388</v>
      </c>
    </row>
    <row r="35" spans="1:14" ht="48" customHeight="1">
      <c r="A35" s="7" t="s">
        <v>398</v>
      </c>
      <c r="B35" s="7" t="s">
        <v>316</v>
      </c>
      <c r="C35" s="7" t="s">
        <v>269</v>
      </c>
      <c r="D35" s="7" t="s">
        <v>399</v>
      </c>
      <c r="E35" s="7" t="s">
        <v>400</v>
      </c>
      <c r="F35" s="7" t="s">
        <v>401</v>
      </c>
      <c r="G35" s="7" t="s">
        <v>171</v>
      </c>
      <c r="H35" s="7">
        <v>5</v>
      </c>
      <c r="I35" s="7">
        <v>10</v>
      </c>
      <c r="J35" s="7" t="s">
        <v>460</v>
      </c>
      <c r="K35" s="7" t="s">
        <v>121</v>
      </c>
      <c r="L35" s="7" t="s">
        <v>269</v>
      </c>
      <c r="M35" s="7" t="s">
        <v>402</v>
      </c>
      <c r="N35" s="7" t="s">
        <v>388</v>
      </c>
    </row>
    <row r="36" spans="1:14" ht="48" customHeight="1">
      <c r="A36" s="7" t="s">
        <v>264</v>
      </c>
      <c r="B36" s="7" t="s">
        <v>160</v>
      </c>
      <c r="C36" s="7" t="s">
        <v>269</v>
      </c>
      <c r="D36" s="7" t="s">
        <v>265</v>
      </c>
      <c r="E36" s="7" t="s">
        <v>267</v>
      </c>
      <c r="F36" s="7" t="s">
        <v>268</v>
      </c>
      <c r="G36" s="7" t="s">
        <v>171</v>
      </c>
      <c r="H36" s="7">
        <v>8</v>
      </c>
      <c r="I36" s="7">
        <v>10</v>
      </c>
      <c r="J36" s="7" t="s">
        <v>460</v>
      </c>
      <c r="K36" s="7" t="s">
        <v>121</v>
      </c>
      <c r="L36" s="7" t="s">
        <v>269</v>
      </c>
      <c r="M36" s="7" t="s">
        <v>270</v>
      </c>
      <c r="N36" s="7" t="s">
        <v>166</v>
      </c>
    </row>
    <row r="37" spans="1:14" ht="48" customHeight="1">
      <c r="A37" s="7" t="s">
        <v>271</v>
      </c>
      <c r="B37" s="7" t="s">
        <v>160</v>
      </c>
      <c r="C37" s="7" t="s">
        <v>269</v>
      </c>
      <c r="D37" s="7" t="s">
        <v>272</v>
      </c>
      <c r="E37" s="7" t="s">
        <v>274</v>
      </c>
      <c r="F37" s="7" t="s">
        <v>275</v>
      </c>
      <c r="G37" s="7" t="s">
        <v>171</v>
      </c>
      <c r="H37" s="7">
        <v>5</v>
      </c>
      <c r="I37" s="7">
        <v>11</v>
      </c>
      <c r="J37" s="7" t="s">
        <v>461</v>
      </c>
      <c r="K37" s="7" t="s">
        <v>127</v>
      </c>
      <c r="L37" s="7" t="s">
        <v>269</v>
      </c>
      <c r="M37" s="7" t="s">
        <v>276</v>
      </c>
      <c r="N37" s="7" t="s">
        <v>264</v>
      </c>
    </row>
    <row r="38" spans="1:14" ht="48" customHeight="1">
      <c r="A38" s="7" t="s">
        <v>403</v>
      </c>
      <c r="B38" s="7" t="s">
        <v>316</v>
      </c>
      <c r="C38" s="7" t="s">
        <v>269</v>
      </c>
      <c r="D38" s="7" t="s">
        <v>404</v>
      </c>
      <c r="E38" s="7" t="s">
        <v>405</v>
      </c>
      <c r="F38" s="7" t="s">
        <v>406</v>
      </c>
      <c r="G38" s="7" t="s">
        <v>225</v>
      </c>
      <c r="H38" s="7">
        <v>8</v>
      </c>
      <c r="I38" s="7">
        <v>11</v>
      </c>
      <c r="J38" s="7" t="s">
        <v>461</v>
      </c>
      <c r="K38" s="7" t="s">
        <v>127</v>
      </c>
      <c r="L38" s="7" t="s">
        <v>269</v>
      </c>
      <c r="M38" s="7" t="s">
        <v>276</v>
      </c>
      <c r="N38" s="7" t="s">
        <v>393</v>
      </c>
    </row>
    <row r="39" spans="1:14" ht="48" customHeight="1">
      <c r="A39" s="7" t="s">
        <v>277</v>
      </c>
      <c r="B39" s="7" t="s">
        <v>160</v>
      </c>
      <c r="C39" s="7" t="s">
        <v>269</v>
      </c>
      <c r="D39" s="7" t="s">
        <v>278</v>
      </c>
      <c r="E39" s="7" t="s">
        <v>279</v>
      </c>
      <c r="F39" s="7" t="s">
        <v>280</v>
      </c>
      <c r="G39" s="7" t="s">
        <v>225</v>
      </c>
      <c r="H39" s="7">
        <v>8</v>
      </c>
      <c r="I39" s="7">
        <v>11</v>
      </c>
      <c r="J39" s="7" t="s">
        <v>461</v>
      </c>
      <c r="K39" s="7" t="s">
        <v>127</v>
      </c>
      <c r="L39" s="7" t="s">
        <v>269</v>
      </c>
      <c r="M39" s="7" t="s">
        <v>276</v>
      </c>
      <c r="N39" s="7" t="s">
        <v>281</v>
      </c>
    </row>
    <row r="40" spans="1:14" ht="48" customHeight="1">
      <c r="A40" s="7" t="s">
        <v>407</v>
      </c>
      <c r="B40" s="7" t="s">
        <v>316</v>
      </c>
      <c r="C40" s="7" t="s">
        <v>269</v>
      </c>
      <c r="D40" s="7" t="s">
        <v>408</v>
      </c>
      <c r="E40" s="7" t="s">
        <v>409</v>
      </c>
      <c r="F40" s="7" t="s">
        <v>410</v>
      </c>
      <c r="G40" s="7" t="s">
        <v>225</v>
      </c>
      <c r="H40" s="7">
        <v>8</v>
      </c>
      <c r="I40" s="7">
        <v>12</v>
      </c>
      <c r="J40" s="7" t="s">
        <v>462</v>
      </c>
      <c r="K40" s="7" t="s">
        <v>133</v>
      </c>
      <c r="L40" s="7" t="s">
        <v>269</v>
      </c>
      <c r="M40" s="7" t="s">
        <v>411</v>
      </c>
      <c r="N40" s="7" t="s">
        <v>412</v>
      </c>
    </row>
    <row r="41" spans="1:14" ht="48" customHeight="1">
      <c r="A41" s="7" t="s">
        <v>282</v>
      </c>
      <c r="B41" s="7" t="s">
        <v>160</v>
      </c>
      <c r="C41" s="7" t="s">
        <v>269</v>
      </c>
      <c r="D41" s="7" t="s">
        <v>283</v>
      </c>
      <c r="E41" s="7" t="s">
        <v>284</v>
      </c>
      <c r="F41" s="7" t="s">
        <v>285</v>
      </c>
      <c r="G41" s="7" t="s">
        <v>225</v>
      </c>
      <c r="H41" s="7">
        <v>8</v>
      </c>
      <c r="I41" s="7">
        <v>12</v>
      </c>
      <c r="J41" s="7" t="s">
        <v>462</v>
      </c>
      <c r="K41" s="7" t="s">
        <v>133</v>
      </c>
      <c r="L41" s="7" t="s">
        <v>269</v>
      </c>
      <c r="M41" s="7" t="s">
        <v>286</v>
      </c>
      <c r="N41" s="7" t="s">
        <v>287</v>
      </c>
    </row>
    <row r="42" spans="1:14" ht="48" customHeight="1">
      <c r="A42" s="7" t="s">
        <v>288</v>
      </c>
      <c r="B42" s="7" t="s">
        <v>160</v>
      </c>
      <c r="C42" s="7" t="s">
        <v>269</v>
      </c>
      <c r="D42" s="7" t="s">
        <v>289</v>
      </c>
      <c r="E42" s="7" t="s">
        <v>290</v>
      </c>
      <c r="F42" s="7" t="s">
        <v>291</v>
      </c>
      <c r="G42" s="7" t="s">
        <v>225</v>
      </c>
      <c r="H42" s="7">
        <v>8</v>
      </c>
      <c r="I42" s="7">
        <v>12</v>
      </c>
      <c r="J42" s="7" t="s">
        <v>462</v>
      </c>
      <c r="K42" s="7" t="s">
        <v>133</v>
      </c>
      <c r="L42" s="7" t="s">
        <v>269</v>
      </c>
      <c r="M42" s="7" t="s">
        <v>286</v>
      </c>
      <c r="N42" s="7" t="s">
        <v>292</v>
      </c>
    </row>
    <row r="43" spans="1:14" ht="48" customHeight="1">
      <c r="A43" s="7" t="s">
        <v>293</v>
      </c>
      <c r="B43" s="7" t="s">
        <v>160</v>
      </c>
      <c r="C43" s="7" t="s">
        <v>269</v>
      </c>
      <c r="D43" s="7" t="s">
        <v>294</v>
      </c>
      <c r="E43" s="7" t="s">
        <v>295</v>
      </c>
      <c r="F43" s="7" t="s">
        <v>296</v>
      </c>
      <c r="G43" s="7" t="s">
        <v>225</v>
      </c>
      <c r="H43" s="7">
        <v>5</v>
      </c>
      <c r="I43" s="7">
        <v>12</v>
      </c>
      <c r="J43" s="7" t="s">
        <v>462</v>
      </c>
      <c r="K43" s="7" t="s">
        <v>133</v>
      </c>
      <c r="L43" s="7" t="s">
        <v>269</v>
      </c>
      <c r="M43" s="7" t="s">
        <v>286</v>
      </c>
      <c r="N43" s="7" t="s">
        <v>297</v>
      </c>
    </row>
    <row r="44" spans="1:14" ht="48" customHeight="1">
      <c r="A44" s="7" t="s">
        <v>413</v>
      </c>
      <c r="B44" s="7" t="s">
        <v>316</v>
      </c>
      <c r="C44" s="7" t="s">
        <v>269</v>
      </c>
      <c r="D44" s="7" t="s">
        <v>414</v>
      </c>
      <c r="E44" s="7" t="s">
        <v>415</v>
      </c>
      <c r="F44" s="7" t="s">
        <v>416</v>
      </c>
      <c r="G44" s="7" t="s">
        <v>171</v>
      </c>
      <c r="H44" s="7">
        <v>8</v>
      </c>
      <c r="I44" s="7">
        <v>13</v>
      </c>
      <c r="J44" s="7" t="s">
        <v>463</v>
      </c>
      <c r="K44" s="7" t="s">
        <v>133</v>
      </c>
      <c r="L44" s="7" t="s">
        <v>269</v>
      </c>
      <c r="M44" s="7" t="s">
        <v>411</v>
      </c>
      <c r="N44" s="7" t="s">
        <v>298</v>
      </c>
    </row>
    <row r="45" spans="1:14" ht="48" customHeight="1">
      <c r="A45" s="7" t="s">
        <v>298</v>
      </c>
      <c r="B45" s="7" t="s">
        <v>160</v>
      </c>
      <c r="C45" s="7" t="s">
        <v>269</v>
      </c>
      <c r="D45" s="7" t="s">
        <v>135</v>
      </c>
      <c r="E45" s="7" t="s">
        <v>299</v>
      </c>
      <c r="F45" s="7" t="s">
        <v>300</v>
      </c>
      <c r="G45" s="7" t="s">
        <v>171</v>
      </c>
      <c r="H45" s="7">
        <v>13</v>
      </c>
      <c r="I45" s="7">
        <v>13</v>
      </c>
      <c r="J45" s="7" t="s">
        <v>463</v>
      </c>
      <c r="K45" s="7" t="s">
        <v>133</v>
      </c>
      <c r="L45" s="7" t="s">
        <v>269</v>
      </c>
      <c r="M45" s="7" t="s">
        <v>286</v>
      </c>
      <c r="N45" s="7" t="s">
        <v>301</v>
      </c>
    </row>
    <row r="46" spans="1:14" ht="48" customHeight="1">
      <c r="A46" s="7" t="s">
        <v>417</v>
      </c>
      <c r="B46" s="7" t="s">
        <v>316</v>
      </c>
      <c r="C46" s="7" t="s">
        <v>269</v>
      </c>
      <c r="D46" s="7" t="s">
        <v>418</v>
      </c>
      <c r="E46" s="7" t="s">
        <v>419</v>
      </c>
      <c r="F46" s="7" t="s">
        <v>420</v>
      </c>
      <c r="G46" s="7" t="s">
        <v>225</v>
      </c>
      <c r="H46" s="7">
        <v>5</v>
      </c>
      <c r="I46" s="7">
        <v>13</v>
      </c>
      <c r="J46" s="7" t="s">
        <v>463</v>
      </c>
      <c r="K46" s="7" t="s">
        <v>133</v>
      </c>
      <c r="L46" s="7" t="s">
        <v>269</v>
      </c>
      <c r="M46" s="7" t="s">
        <v>411</v>
      </c>
      <c r="N46" s="7" t="s">
        <v>413</v>
      </c>
    </row>
    <row r="47" spans="1:14" ht="48" customHeight="1">
      <c r="A47" s="7" t="s">
        <v>421</v>
      </c>
      <c r="B47" s="7" t="s">
        <v>316</v>
      </c>
      <c r="C47" s="7" t="s">
        <v>256</v>
      </c>
      <c r="D47" s="7" t="s">
        <v>422</v>
      </c>
      <c r="E47" s="7" t="s">
        <v>423</v>
      </c>
      <c r="F47" s="7" t="s">
        <v>424</v>
      </c>
      <c r="G47" s="7" t="s">
        <v>171</v>
      </c>
      <c r="H47" s="7">
        <v>8</v>
      </c>
      <c r="I47" s="7">
        <v>14</v>
      </c>
      <c r="J47" s="7" t="s">
        <v>464</v>
      </c>
      <c r="K47" s="7" t="s">
        <v>133</v>
      </c>
      <c r="L47" s="7" t="s">
        <v>256</v>
      </c>
      <c r="M47" s="7" t="s">
        <v>425</v>
      </c>
      <c r="N47" s="7" t="s">
        <v>426</v>
      </c>
    </row>
    <row r="48" spans="1:14" ht="48" customHeight="1">
      <c r="A48" s="7" t="s">
        <v>302</v>
      </c>
      <c r="B48" s="7" t="s">
        <v>160</v>
      </c>
      <c r="C48" s="7" t="s">
        <v>256</v>
      </c>
      <c r="D48" s="7" t="s">
        <v>303</v>
      </c>
      <c r="E48" s="7" t="s">
        <v>304</v>
      </c>
      <c r="F48" s="7" t="s">
        <v>305</v>
      </c>
      <c r="G48" s="7" t="s">
        <v>171</v>
      </c>
      <c r="H48" s="7">
        <v>8</v>
      </c>
      <c r="I48" s="7">
        <v>14</v>
      </c>
      <c r="J48" s="7" t="s">
        <v>464</v>
      </c>
      <c r="K48" s="7" t="s">
        <v>133</v>
      </c>
      <c r="L48" s="7" t="s">
        <v>256</v>
      </c>
      <c r="M48" s="7" t="s">
        <v>306</v>
      </c>
      <c r="N48" s="7" t="s">
        <v>307</v>
      </c>
    </row>
    <row r="49" spans="1:14" ht="48" customHeight="1">
      <c r="A49" s="7" t="s">
        <v>427</v>
      </c>
      <c r="B49" s="7" t="s">
        <v>316</v>
      </c>
      <c r="C49" s="7" t="s">
        <v>256</v>
      </c>
      <c r="D49" s="7" t="s">
        <v>428</v>
      </c>
      <c r="E49" s="7" t="s">
        <v>429</v>
      </c>
      <c r="F49" s="7" t="s">
        <v>430</v>
      </c>
      <c r="G49" s="7" t="s">
        <v>225</v>
      </c>
      <c r="H49" s="7">
        <v>5</v>
      </c>
      <c r="I49" s="7">
        <v>14</v>
      </c>
      <c r="J49" s="7" t="s">
        <v>464</v>
      </c>
      <c r="K49" s="7" t="s">
        <v>133</v>
      </c>
      <c r="L49" s="7" t="s">
        <v>256</v>
      </c>
      <c r="M49" s="7" t="s">
        <v>431</v>
      </c>
      <c r="N49" s="7" t="s">
        <v>302</v>
      </c>
    </row>
    <row r="50" spans="1:14" ht="48" customHeight="1">
      <c r="A50" s="7" t="s">
        <v>432</v>
      </c>
      <c r="B50" s="7" t="s">
        <v>316</v>
      </c>
      <c r="C50" s="7" t="s">
        <v>334</v>
      </c>
      <c r="D50" s="7" t="s">
        <v>433</v>
      </c>
      <c r="E50" s="7" t="s">
        <v>434</v>
      </c>
      <c r="F50" s="7" t="s">
        <v>435</v>
      </c>
      <c r="G50" s="7" t="s">
        <v>171</v>
      </c>
      <c r="H50" s="7">
        <v>5</v>
      </c>
      <c r="I50" s="7">
        <v>15</v>
      </c>
      <c r="J50" s="7" t="s">
        <v>465</v>
      </c>
      <c r="K50" s="7" t="s">
        <v>133</v>
      </c>
      <c r="L50" s="7" t="s">
        <v>334</v>
      </c>
      <c r="M50" s="7" t="s">
        <v>436</v>
      </c>
      <c r="N50" s="7" t="s">
        <v>313</v>
      </c>
    </row>
    <row r="51" spans="1:14" ht="48" customHeight="1">
      <c r="A51" s="7" t="s">
        <v>466</v>
      </c>
      <c r="B51" s="7" t="s">
        <v>467</v>
      </c>
      <c r="C51" s="7" t="s">
        <v>172</v>
      </c>
      <c r="D51" s="7" t="s">
        <v>468</v>
      </c>
      <c r="E51" s="7" t="s">
        <v>469</v>
      </c>
      <c r="F51" s="7" t="s">
        <v>470</v>
      </c>
      <c r="G51" s="7" t="s">
        <v>171</v>
      </c>
      <c r="H51" s="7">
        <v>5</v>
      </c>
      <c r="I51" s="7">
        <v>15</v>
      </c>
      <c r="J51" s="7" t="s">
        <v>465</v>
      </c>
      <c r="K51" s="7" t="s">
        <v>133</v>
      </c>
      <c r="L51" s="7" t="s">
        <v>172</v>
      </c>
      <c r="M51" s="7" t="s">
        <v>471</v>
      </c>
      <c r="N51" s="7" t="s">
        <v>472</v>
      </c>
    </row>
    <row r="52" spans="1:14" ht="48" customHeight="1">
      <c r="A52" s="7" t="s">
        <v>473</v>
      </c>
      <c r="B52" s="7" t="s">
        <v>467</v>
      </c>
      <c r="C52" s="7" t="s">
        <v>269</v>
      </c>
      <c r="D52" s="7" t="s">
        <v>474</v>
      </c>
      <c r="E52" s="7" t="s">
        <v>475</v>
      </c>
      <c r="F52" s="7" t="s">
        <v>476</v>
      </c>
      <c r="G52" s="7" t="s">
        <v>171</v>
      </c>
      <c r="H52" s="7">
        <v>5</v>
      </c>
      <c r="I52" s="7">
        <v>15</v>
      </c>
      <c r="J52" s="7" t="s">
        <v>465</v>
      </c>
      <c r="K52" s="7" t="s">
        <v>133</v>
      </c>
      <c r="L52" s="7" t="s">
        <v>269</v>
      </c>
      <c r="M52" s="7" t="s">
        <v>477</v>
      </c>
      <c r="N52" s="7" t="s">
        <v>478</v>
      </c>
    </row>
    <row r="53" spans="1:14" ht="48" customHeight="1">
      <c r="A53" s="7" t="s">
        <v>479</v>
      </c>
      <c r="B53" s="7" t="s">
        <v>467</v>
      </c>
      <c r="C53" s="7" t="s">
        <v>256</v>
      </c>
      <c r="D53" s="7" t="s">
        <v>480</v>
      </c>
      <c r="E53" s="7" t="s">
        <v>481</v>
      </c>
      <c r="F53" s="7" t="s">
        <v>482</v>
      </c>
      <c r="G53" s="7" t="s">
        <v>171</v>
      </c>
      <c r="H53" s="7">
        <v>3</v>
      </c>
      <c r="I53" s="7">
        <v>15</v>
      </c>
      <c r="J53" s="7" t="s">
        <v>465</v>
      </c>
      <c r="K53" s="7" t="s">
        <v>133</v>
      </c>
      <c r="L53" s="7" t="s">
        <v>256</v>
      </c>
      <c r="M53" s="7" t="s">
        <v>483</v>
      </c>
      <c r="N53" s="7" t="s">
        <v>421</v>
      </c>
    </row>
    <row r="54" spans="1:14" ht="48" customHeight="1">
      <c r="A54" s="7" t="s">
        <v>484</v>
      </c>
      <c r="B54" s="7" t="s">
        <v>467</v>
      </c>
      <c r="C54" s="7" t="s">
        <v>334</v>
      </c>
      <c r="D54" s="7" t="s">
        <v>485</v>
      </c>
      <c r="E54" s="7" t="s">
        <v>486</v>
      </c>
      <c r="F54" s="7" t="s">
        <v>487</v>
      </c>
      <c r="G54" s="7" t="s">
        <v>225</v>
      </c>
      <c r="H54" s="7">
        <v>3</v>
      </c>
      <c r="I54" s="7">
        <v>15</v>
      </c>
      <c r="J54" s="7" t="s">
        <v>465</v>
      </c>
      <c r="K54" s="7" t="s">
        <v>133</v>
      </c>
      <c r="L54" s="7" t="s">
        <v>334</v>
      </c>
      <c r="M54" s="7" t="s">
        <v>488</v>
      </c>
      <c r="N54" s="7" t="s">
        <v>432</v>
      </c>
    </row>
    <row r="55" spans="1:14" ht="48" customHeight="1">
      <c r="A55" s="7" t="s">
        <v>489</v>
      </c>
      <c r="B55" s="7" t="s">
        <v>467</v>
      </c>
      <c r="C55" s="7" t="s">
        <v>334</v>
      </c>
      <c r="D55" s="7" t="s">
        <v>490</v>
      </c>
      <c r="E55" s="7" t="s">
        <v>491</v>
      </c>
      <c r="F55" s="7" t="s">
        <v>492</v>
      </c>
      <c r="G55" s="7" t="s">
        <v>171</v>
      </c>
      <c r="H55" s="7">
        <v>5</v>
      </c>
      <c r="I55" s="7">
        <v>16</v>
      </c>
      <c r="J55" s="7" t="s">
        <v>493</v>
      </c>
      <c r="K55" s="7" t="s">
        <v>133</v>
      </c>
      <c r="L55" s="7" t="s">
        <v>334</v>
      </c>
      <c r="M55" s="7" t="s">
        <v>494</v>
      </c>
      <c r="N55" s="7" t="s">
        <v>308</v>
      </c>
    </row>
    <row r="56" spans="1:14" ht="48" customHeight="1">
      <c r="A56" s="7" t="s">
        <v>495</v>
      </c>
      <c r="B56" s="7" t="s">
        <v>467</v>
      </c>
      <c r="C56" s="7" t="s">
        <v>334</v>
      </c>
      <c r="D56" s="7" t="s">
        <v>496</v>
      </c>
      <c r="E56" s="7" t="s">
        <v>497</v>
      </c>
      <c r="F56" s="7" t="s">
        <v>498</v>
      </c>
      <c r="G56" s="7" t="s">
        <v>171</v>
      </c>
      <c r="H56" s="7">
        <v>3</v>
      </c>
      <c r="I56" s="7">
        <v>16</v>
      </c>
      <c r="J56" s="7" t="s">
        <v>493</v>
      </c>
      <c r="K56" s="7" t="s">
        <v>133</v>
      </c>
      <c r="L56" s="7" t="s">
        <v>334</v>
      </c>
      <c r="M56" s="7" t="s">
        <v>499</v>
      </c>
      <c r="N56" s="7" t="s">
        <v>489</v>
      </c>
    </row>
    <row r="57" spans="1:14" ht="48" customHeight="1">
      <c r="A57" s="7" t="s">
        <v>437</v>
      </c>
      <c r="B57" s="7" t="s">
        <v>316</v>
      </c>
      <c r="C57" s="7" t="s">
        <v>334</v>
      </c>
      <c r="D57" s="7" t="s">
        <v>438</v>
      </c>
      <c r="E57" s="7" t="s">
        <v>439</v>
      </c>
      <c r="F57" s="7" t="s">
        <v>440</v>
      </c>
      <c r="G57" s="7" t="s">
        <v>171</v>
      </c>
      <c r="H57" s="7">
        <v>3</v>
      </c>
      <c r="I57" s="7">
        <v>16</v>
      </c>
      <c r="J57" s="7" t="s">
        <v>493</v>
      </c>
      <c r="K57" s="7" t="s">
        <v>133</v>
      </c>
      <c r="L57" s="7" t="s">
        <v>334</v>
      </c>
      <c r="M57" s="7" t="s">
        <v>441</v>
      </c>
      <c r="N57" s="7" t="s">
        <v>432</v>
      </c>
    </row>
    <row r="58" spans="1:14" ht="48" customHeight="1">
      <c r="A58" s="7" t="s">
        <v>308</v>
      </c>
      <c r="B58" s="7" t="s">
        <v>160</v>
      </c>
      <c r="C58" s="7" t="s">
        <v>256</v>
      </c>
      <c r="D58" s="7" t="s">
        <v>309</v>
      </c>
      <c r="E58" s="7" t="s">
        <v>310</v>
      </c>
      <c r="F58" s="7" t="s">
        <v>311</v>
      </c>
      <c r="G58" s="7" t="s">
        <v>171</v>
      </c>
      <c r="H58" s="7">
        <v>8</v>
      </c>
      <c r="I58" s="7">
        <v>16</v>
      </c>
      <c r="J58" s="7" t="s">
        <v>493</v>
      </c>
      <c r="K58" s="7" t="s">
        <v>133</v>
      </c>
      <c r="L58" s="7" t="s">
        <v>256</v>
      </c>
      <c r="M58" s="7" t="s">
        <v>312</v>
      </c>
      <c r="N58" s="7" t="s">
        <v>313</v>
      </c>
    </row>
    <row r="59" spans="1:14" ht="48" customHeight="1">
      <c r="A59" s="7" t="s">
        <v>500</v>
      </c>
      <c r="B59" s="7" t="s">
        <v>467</v>
      </c>
      <c r="C59" s="7" t="s">
        <v>256</v>
      </c>
      <c r="D59" s="7" t="s">
        <v>501</v>
      </c>
      <c r="E59" s="7" t="s">
        <v>502</v>
      </c>
      <c r="F59" s="7" t="s">
        <v>503</v>
      </c>
      <c r="G59" s="7" t="s">
        <v>171</v>
      </c>
      <c r="H59" s="7">
        <v>5</v>
      </c>
      <c r="I59" s="7">
        <v>16</v>
      </c>
      <c r="J59" s="7" t="s">
        <v>493</v>
      </c>
      <c r="K59" s="7" t="s">
        <v>133</v>
      </c>
      <c r="L59" s="7" t="s">
        <v>256</v>
      </c>
      <c r="M59" s="7" t="s">
        <v>504</v>
      </c>
      <c r="N59" s="7" t="s">
        <v>308</v>
      </c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N1"/>
    <mergeCell ref="A2:N2"/>
  </mergeCells>
  <conditionalFormatting sqref="A4:N59">
    <cfRule type="expression" dxfId="20" priority="1">
      <formula>$K4="Implementado"</formula>
    </cfRule>
    <cfRule type="expression" dxfId="19" priority="2">
      <formula>$K4="En progreso"</formula>
    </cfRule>
    <cfRule type="expression" dxfId="18" priority="3">
      <formula>$K4="Planificado"</formula>
    </cfRule>
    <cfRule type="expression" dxfId="17" priority="4">
      <formula>ISNUMBER(SEARCH("Octalysis", $D4))</formula>
    </cfRule>
  </conditionalFormatting>
  <conditionalFormatting sqref="H4:H59">
    <cfRule type="dataBar" priority="5">
      <dataBar>
        <cfvo type="min"/>
        <cfvo type="max"/>
        <color rgb="FF1F7A8C"/>
      </dataBar>
    </cfRule>
    <cfRule type="dataBar" priority="6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{3B074280-899E-40A4-9B3D-504F2E96F7B3}</x14:id>
        </ext>
      </extLst>
    </cfRule>
  </conditionalFormatting>
  <dataValidations count="2">
    <dataValidation type="list" sqref="G4:G59" xr:uid="{315100C6-C31A-47E8-AF3E-8FBC750994D1}">
      <formula1>"Alta,Media,Baja"</formula1>
    </dataValidation>
    <dataValidation type="list" sqref="K4:K59" xr:uid="{DCCEC43F-D666-4C2C-B887-ADF617359A55}">
      <formula1>"Implementado,Implementado con ajustes,Documentado,Documentado / implementado,Aplicado en diseño,Aplicado en diseño / pendiente de evidencia técnica,En progreso,Planificado / en progreso,Planificado"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74280-899E-40A4-9B3D-504F2E96F7B3}">
            <x14:dataBar>
              <x14:cfvo type="min"/>
              <x14:cfvo type="max"/>
              <x14:negativeFillColor auto="1"/>
              <x14:axisColor auto="1"/>
            </x14:dataBar>
          </x14:cfRule>
          <xm:sqref>H4:H59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zoomScale="83" workbookViewId="0">
      <selection activeCell="F9" sqref="F9"/>
    </sheetView>
  </sheetViews>
  <sheetFormatPr baseColWidth="10" defaultColWidth="9" defaultRowHeight="14.25"/>
  <cols>
    <col min="1" max="1" width="14.875" bestFit="1" customWidth="1"/>
    <col min="2" max="2" width="94.5" bestFit="1" customWidth="1"/>
    <col min="4" max="4" width="15.625" bestFit="1" customWidth="1"/>
    <col min="5" max="5" width="14" customWidth="1"/>
    <col min="6" max="6" width="24.5" bestFit="1" customWidth="1"/>
    <col min="7" max="7" width="11.75" bestFit="1" customWidth="1"/>
    <col min="8" max="8" width="35.875" bestFit="1" customWidth="1"/>
  </cols>
  <sheetData>
    <row r="1" spans="1:14" ht="27.95" customHeight="1">
      <c r="A1" s="11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</row>
    <row r="2" spans="1:14">
      <c r="A2" s="13" t="s">
        <v>1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</row>
    <row r="3" spans="1:14" ht="30" customHeight="1">
      <c r="A3" s="2" t="s">
        <v>2</v>
      </c>
      <c r="B3" s="2" t="s">
        <v>3</v>
      </c>
      <c r="C3" s="2"/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  <c r="K3" s="1"/>
      <c r="L3" s="1"/>
      <c r="M3" s="1"/>
      <c r="N3" s="1"/>
    </row>
    <row r="4" spans="1:14" ht="48" customHeight="1">
      <c r="A4" s="3" t="s">
        <v>9</v>
      </c>
      <c r="B4" s="3" t="s">
        <v>10</v>
      </c>
      <c r="C4" s="4"/>
      <c r="D4" s="3" t="s">
        <v>11</v>
      </c>
      <c r="E4" s="3">
        <f>COUNTA('Product Backlog'!A4:A200)</f>
        <v>56</v>
      </c>
      <c r="F4" s="3" t="s">
        <v>12</v>
      </c>
      <c r="G4" s="3" t="s">
        <v>13</v>
      </c>
      <c r="H4" s="3" t="s">
        <v>14</v>
      </c>
      <c r="I4" s="1"/>
      <c r="J4" s="1"/>
      <c r="K4" s="1"/>
      <c r="L4" s="1"/>
      <c r="M4" s="1"/>
      <c r="N4" s="1"/>
    </row>
    <row r="5" spans="1:14" ht="48" customHeight="1">
      <c r="A5" s="3" t="s">
        <v>15</v>
      </c>
      <c r="B5" s="3" t="s">
        <v>16</v>
      </c>
      <c r="C5" s="4"/>
      <c r="D5" s="3" t="s">
        <v>17</v>
      </c>
      <c r="E5" s="3">
        <f>COUNTIF('Product Backlog'!K4:K200,"Implementado")</f>
        <v>21</v>
      </c>
      <c r="F5" s="3" t="s">
        <v>18</v>
      </c>
      <c r="G5" s="3" t="s">
        <v>19</v>
      </c>
      <c r="H5" s="3" t="s">
        <v>20</v>
      </c>
      <c r="I5" s="1"/>
      <c r="J5" s="1"/>
      <c r="K5" s="1"/>
      <c r="L5" s="1"/>
      <c r="M5" s="1"/>
      <c r="N5" s="1"/>
    </row>
    <row r="6" spans="1:14" ht="48" customHeight="1">
      <c r="A6" s="3" t="s">
        <v>21</v>
      </c>
      <c r="B6" s="3" t="s">
        <v>22</v>
      </c>
      <c r="C6" s="4"/>
      <c r="D6" s="3" t="s">
        <v>23</v>
      </c>
      <c r="E6" s="3">
        <f>COUNTIF('Product Backlog'!K4:K200,"En progreso")+COUNTIF('Product Backlog'!K4:K200,"Planificado / en progreso")</f>
        <v>7</v>
      </c>
      <c r="F6" s="3" t="s">
        <v>24</v>
      </c>
      <c r="G6" s="3" t="s">
        <v>19</v>
      </c>
      <c r="H6" s="3" t="s">
        <v>25</v>
      </c>
      <c r="I6" s="1"/>
      <c r="J6" s="1"/>
      <c r="K6" s="1"/>
      <c r="L6" s="1"/>
      <c r="M6" s="1"/>
      <c r="N6" s="1"/>
    </row>
    <row r="7" spans="1:14" ht="48" customHeight="1">
      <c r="A7" s="3" t="s">
        <v>26</v>
      </c>
      <c r="B7" s="3" t="s">
        <v>27</v>
      </c>
      <c r="C7" s="4"/>
      <c r="D7" s="3" t="s">
        <v>28</v>
      </c>
      <c r="E7" s="3">
        <f>COUNTIF('Product Backlog'!K4:K200,"Planificado")</f>
        <v>20</v>
      </c>
      <c r="F7" s="3" t="s">
        <v>29</v>
      </c>
      <c r="G7" s="3" t="s">
        <v>30</v>
      </c>
      <c r="H7" s="3" t="s">
        <v>31</v>
      </c>
      <c r="I7" s="1"/>
      <c r="J7" s="1"/>
      <c r="K7" s="1"/>
      <c r="L7" s="1"/>
      <c r="M7" s="1"/>
      <c r="N7" s="1"/>
    </row>
    <row r="8" spans="1:14" ht="48" customHeight="1">
      <c r="A8" s="3" t="s">
        <v>32</v>
      </c>
      <c r="B8" s="3" t="s">
        <v>33</v>
      </c>
      <c r="C8" s="4"/>
      <c r="D8" s="3" t="s">
        <v>34</v>
      </c>
      <c r="E8" s="3">
        <f>SUM('Product Backlog'!H4:H200)</f>
        <v>394</v>
      </c>
      <c r="F8" s="3" t="s">
        <v>35</v>
      </c>
      <c r="G8" s="3" t="s">
        <v>36</v>
      </c>
      <c r="H8" s="3" t="s">
        <v>37</v>
      </c>
      <c r="I8" s="1"/>
      <c r="J8" s="1"/>
      <c r="K8" s="1"/>
      <c r="L8" s="1"/>
      <c r="M8" s="1"/>
      <c r="N8" s="1"/>
    </row>
    <row r="9" spans="1:14" ht="48" customHeight="1">
      <c r="A9" s="3" t="s">
        <v>38</v>
      </c>
      <c r="B9" s="3" t="s">
        <v>39</v>
      </c>
      <c r="C9" s="4"/>
      <c r="D9" s="3" t="s">
        <v>40</v>
      </c>
      <c r="E9" s="3">
        <f>COUNTA('Plan por Sprint'!A4:A50)</f>
        <v>16</v>
      </c>
      <c r="F9" s="3" t="s">
        <v>41</v>
      </c>
      <c r="G9" s="3" t="s">
        <v>42</v>
      </c>
      <c r="H9" s="3" t="s">
        <v>43</v>
      </c>
      <c r="I9" s="1"/>
      <c r="J9" s="1"/>
      <c r="K9" s="1"/>
      <c r="L9" s="1"/>
      <c r="M9" s="1"/>
      <c r="N9" s="1"/>
    </row>
    <row r="10" spans="1:14" ht="48" customHeight="1">
      <c r="A10" s="3" t="s">
        <v>44</v>
      </c>
      <c r="B10" s="3" t="s">
        <v>683</v>
      </c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ht="48" customHeight="1">
      <c r="A11" s="3" t="s">
        <v>45</v>
      </c>
      <c r="B11" s="3" t="s">
        <v>46</v>
      </c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</row>
    <row r="12" spans="1:14" ht="48" customHeight="1">
      <c r="A12" s="3" t="s">
        <v>47</v>
      </c>
      <c r="B12" s="3" t="s">
        <v>48</v>
      </c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</row>
    <row r="13" spans="1:14" ht="48" customHeight="1">
      <c r="A13" s="3" t="s">
        <v>49</v>
      </c>
      <c r="B13" s="3" t="s">
        <v>50</v>
      </c>
      <c r="C13" s="4"/>
      <c r="D13" s="4"/>
      <c r="E13" s="4"/>
      <c r="F13" s="4"/>
      <c r="G13" s="4"/>
      <c r="H13" s="4"/>
      <c r="I13" s="1"/>
      <c r="J13" s="1"/>
      <c r="K13" s="1"/>
      <c r="L13" s="1"/>
      <c r="M13" s="1"/>
      <c r="N13" s="1"/>
    </row>
    <row r="14" spans="1:14" ht="48" customHeight="1">
      <c r="A14" s="3" t="s">
        <v>51</v>
      </c>
      <c r="B14" s="3" t="s">
        <v>52</v>
      </c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</row>
    <row r="15" spans="1:14" ht="48" customHeight="1">
      <c r="A15" s="3" t="s">
        <v>53</v>
      </c>
      <c r="B15" s="3" t="s">
        <v>54</v>
      </c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</row>
    <row r="16" spans="1:14" ht="48" customHeight="1">
      <c r="A16" s="3" t="s">
        <v>55</v>
      </c>
      <c r="B16" s="3" t="s">
        <v>56</v>
      </c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</row>
    <row r="17" spans="1:14" ht="4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zoomScale="70" zoomScaleNormal="70" workbookViewId="0">
      <selection activeCell="D4" sqref="D4"/>
    </sheetView>
  </sheetViews>
  <sheetFormatPr baseColWidth="10" defaultColWidth="9" defaultRowHeight="14.25"/>
  <cols>
    <col min="1" max="1" width="10" customWidth="1"/>
    <col min="2" max="3" width="12" customWidth="1"/>
    <col min="4" max="4" width="26" customWidth="1"/>
    <col min="5" max="5" width="55" customWidth="1"/>
    <col min="6" max="6" width="60" customWidth="1"/>
    <col min="7" max="7" width="35" customWidth="1"/>
    <col min="8" max="8" width="42.625" customWidth="1"/>
    <col min="9" max="9" width="24" customWidth="1"/>
    <col min="10" max="10" width="48" customWidth="1"/>
  </cols>
  <sheetData>
    <row r="1" spans="1:14" ht="27.95" customHeight="1">
      <c r="A1" s="14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</row>
    <row r="2" spans="1:14">
      <c r="A2" s="16" t="s">
        <v>58</v>
      </c>
      <c r="B2" s="15"/>
      <c r="C2" s="15"/>
      <c r="D2" s="15"/>
      <c r="E2" s="15"/>
      <c r="F2" s="15"/>
      <c r="G2" s="15"/>
      <c r="H2" s="15"/>
      <c r="I2" s="15"/>
      <c r="J2" s="15"/>
      <c r="K2" s="1"/>
      <c r="L2" s="1"/>
      <c r="M2" s="1"/>
      <c r="N2" s="1"/>
    </row>
    <row r="3" spans="1:14" ht="30" customHeight="1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8</v>
      </c>
      <c r="K3" s="1"/>
      <c r="L3" s="1"/>
      <c r="M3" s="1"/>
      <c r="N3" s="1"/>
    </row>
    <row r="4" spans="1:14" ht="48" customHeight="1">
      <c r="A4" s="7">
        <v>1</v>
      </c>
      <c r="B4" s="8">
        <v>46083</v>
      </c>
      <c r="C4" s="8">
        <v>46089</v>
      </c>
      <c r="D4" s="7" t="s">
        <v>68</v>
      </c>
      <c r="E4" s="7" t="s">
        <v>69</v>
      </c>
      <c r="F4" s="7" t="s">
        <v>70</v>
      </c>
      <c r="G4" s="7" t="s">
        <v>71</v>
      </c>
      <c r="H4" s="7">
        <v>16</v>
      </c>
      <c r="I4" s="7" t="s">
        <v>72</v>
      </c>
      <c r="J4" s="7" t="s">
        <v>73</v>
      </c>
      <c r="K4" s="1"/>
      <c r="L4" s="1"/>
      <c r="M4" s="1"/>
      <c r="N4" s="1"/>
    </row>
    <row r="5" spans="1:14" ht="48" customHeight="1">
      <c r="A5" s="7">
        <v>2</v>
      </c>
      <c r="B5" s="8">
        <v>46090</v>
      </c>
      <c r="C5" s="8">
        <v>46096</v>
      </c>
      <c r="D5" s="7" t="s">
        <v>74</v>
      </c>
      <c r="E5" s="7" t="s">
        <v>75</v>
      </c>
      <c r="F5" s="7" t="s">
        <v>76</v>
      </c>
      <c r="G5" s="7" t="s">
        <v>77</v>
      </c>
      <c r="H5" s="7">
        <v>18</v>
      </c>
      <c r="I5" s="7" t="s">
        <v>78</v>
      </c>
      <c r="J5" s="7" t="s">
        <v>79</v>
      </c>
      <c r="K5" s="1"/>
      <c r="L5" s="1"/>
      <c r="M5" s="1"/>
      <c r="N5" s="1"/>
    </row>
    <row r="6" spans="1:14" ht="48" customHeight="1">
      <c r="A6" s="7">
        <v>3</v>
      </c>
      <c r="B6" s="8">
        <v>46097</v>
      </c>
      <c r="C6" s="8">
        <v>46103</v>
      </c>
      <c r="D6" s="7" t="s">
        <v>80</v>
      </c>
      <c r="E6" s="7" t="s">
        <v>81</v>
      </c>
      <c r="F6" s="7" t="s">
        <v>82</v>
      </c>
      <c r="G6" s="7" t="s">
        <v>83</v>
      </c>
      <c r="H6" s="7">
        <v>20</v>
      </c>
      <c r="I6" s="7" t="s">
        <v>78</v>
      </c>
      <c r="J6" s="7" t="s">
        <v>84</v>
      </c>
      <c r="K6" s="1"/>
      <c r="L6" s="1"/>
      <c r="M6" s="1"/>
      <c r="N6" s="1"/>
    </row>
    <row r="7" spans="1:14" ht="48" customHeight="1">
      <c r="A7" s="7">
        <v>4</v>
      </c>
      <c r="B7" s="8">
        <v>46104</v>
      </c>
      <c r="C7" s="8">
        <v>46110</v>
      </c>
      <c r="D7" s="7" t="s">
        <v>85</v>
      </c>
      <c r="E7" s="7" t="s">
        <v>86</v>
      </c>
      <c r="F7" s="7" t="s">
        <v>87</v>
      </c>
      <c r="G7" s="7" t="s">
        <v>88</v>
      </c>
      <c r="H7" s="7">
        <v>21</v>
      </c>
      <c r="I7" s="7" t="s">
        <v>78</v>
      </c>
      <c r="J7" s="7" t="s">
        <v>89</v>
      </c>
      <c r="K7" s="1"/>
      <c r="L7" s="1"/>
      <c r="M7" s="1"/>
      <c r="N7" s="1"/>
    </row>
    <row r="8" spans="1:14" ht="48" customHeight="1">
      <c r="A8" s="7">
        <v>5</v>
      </c>
      <c r="B8" s="8">
        <v>46111</v>
      </c>
      <c r="C8" s="8">
        <v>46117</v>
      </c>
      <c r="D8" s="7" t="s">
        <v>90</v>
      </c>
      <c r="E8" s="7" t="s">
        <v>91</v>
      </c>
      <c r="F8" s="7" t="s">
        <v>92</v>
      </c>
      <c r="G8" s="7" t="s">
        <v>93</v>
      </c>
      <c r="H8" s="7">
        <v>21</v>
      </c>
      <c r="I8" s="7" t="s">
        <v>78</v>
      </c>
      <c r="J8" s="7" t="s">
        <v>94</v>
      </c>
      <c r="K8" s="1"/>
      <c r="L8" s="1"/>
      <c r="M8" s="1"/>
      <c r="N8" s="1"/>
    </row>
    <row r="9" spans="1:14" ht="48" customHeight="1">
      <c r="A9" s="7">
        <v>6</v>
      </c>
      <c r="B9" s="8">
        <v>46118</v>
      </c>
      <c r="C9" s="8">
        <v>46124</v>
      </c>
      <c r="D9" s="7" t="s">
        <v>95</v>
      </c>
      <c r="E9" s="7" t="s">
        <v>96</v>
      </c>
      <c r="F9" s="7" t="s">
        <v>97</v>
      </c>
      <c r="G9" s="7" t="s">
        <v>98</v>
      </c>
      <c r="H9" s="7">
        <v>18</v>
      </c>
      <c r="I9" s="7" t="s">
        <v>78</v>
      </c>
      <c r="J9" s="7" t="s">
        <v>99</v>
      </c>
      <c r="K9" s="1"/>
      <c r="L9" s="1"/>
      <c r="M9" s="1"/>
      <c r="N9" s="1"/>
    </row>
    <row r="10" spans="1:14" ht="48" customHeight="1">
      <c r="A10" s="7">
        <v>7</v>
      </c>
      <c r="B10" s="8">
        <v>46125</v>
      </c>
      <c r="C10" s="8">
        <v>46131</v>
      </c>
      <c r="D10" s="7" t="s">
        <v>100</v>
      </c>
      <c r="E10" s="7" t="s">
        <v>101</v>
      </c>
      <c r="F10" s="7" t="s">
        <v>102</v>
      </c>
      <c r="G10" s="7" t="s">
        <v>103</v>
      </c>
      <c r="H10" s="7">
        <v>15</v>
      </c>
      <c r="I10" s="7" t="s">
        <v>78</v>
      </c>
      <c r="J10" s="7" t="s">
        <v>104</v>
      </c>
      <c r="K10" s="1"/>
      <c r="L10" s="1"/>
      <c r="M10" s="1"/>
      <c r="N10" s="1"/>
    </row>
    <row r="11" spans="1:14" ht="48" customHeight="1">
      <c r="A11" s="7">
        <v>8</v>
      </c>
      <c r="B11" s="8">
        <v>46132</v>
      </c>
      <c r="C11" s="8">
        <v>46138</v>
      </c>
      <c r="D11" s="7" t="s">
        <v>105</v>
      </c>
      <c r="E11" s="7" t="s">
        <v>106</v>
      </c>
      <c r="F11" s="7" t="s">
        <v>107</v>
      </c>
      <c r="G11" s="7" t="s">
        <v>108</v>
      </c>
      <c r="H11" s="7">
        <v>19</v>
      </c>
      <c r="I11" s="7" t="s">
        <v>109</v>
      </c>
      <c r="J11" s="7" t="s">
        <v>110</v>
      </c>
      <c r="K11" s="1"/>
      <c r="L11" s="1"/>
      <c r="M11" s="1"/>
      <c r="N11" s="1"/>
    </row>
    <row r="12" spans="1:14" ht="48" customHeight="1">
      <c r="A12" s="7">
        <v>9</v>
      </c>
      <c r="B12" s="8">
        <v>46139</v>
      </c>
      <c r="C12" s="8">
        <v>46145</v>
      </c>
      <c r="D12" s="7" t="s">
        <v>111</v>
      </c>
      <c r="E12" s="7" t="s">
        <v>112</v>
      </c>
      <c r="F12" s="7" t="s">
        <v>113</v>
      </c>
      <c r="G12" s="7" t="s">
        <v>114</v>
      </c>
      <c r="H12" s="7">
        <v>20</v>
      </c>
      <c r="I12" s="7" t="s">
        <v>115</v>
      </c>
      <c r="J12" s="7" t="s">
        <v>116</v>
      </c>
      <c r="K12" s="1"/>
      <c r="L12" s="1"/>
      <c r="M12" s="1"/>
      <c r="N12" s="1"/>
    </row>
    <row r="13" spans="1:14" ht="48" customHeight="1">
      <c r="A13" s="7">
        <v>10</v>
      </c>
      <c r="B13" s="8">
        <v>46146</v>
      </c>
      <c r="C13" s="8">
        <v>46152</v>
      </c>
      <c r="D13" s="7" t="s">
        <v>117</v>
      </c>
      <c r="E13" s="7" t="s">
        <v>118</v>
      </c>
      <c r="F13" s="7" t="s">
        <v>119</v>
      </c>
      <c r="G13" s="7" t="s">
        <v>120</v>
      </c>
      <c r="H13" s="7">
        <v>18</v>
      </c>
      <c r="I13" s="7" t="s">
        <v>121</v>
      </c>
      <c r="J13" s="7" t="s">
        <v>122</v>
      </c>
      <c r="K13" s="1"/>
      <c r="L13" s="1"/>
      <c r="M13" s="1"/>
      <c r="N13" s="1"/>
    </row>
    <row r="14" spans="1:14" ht="48" customHeight="1">
      <c r="A14" s="7">
        <v>11</v>
      </c>
      <c r="B14" s="8">
        <v>46153</v>
      </c>
      <c r="C14" s="8">
        <v>46159</v>
      </c>
      <c r="D14" s="7" t="s">
        <v>123</v>
      </c>
      <c r="E14" s="7" t="s">
        <v>124</v>
      </c>
      <c r="F14" s="7" t="s">
        <v>125</v>
      </c>
      <c r="G14" s="7" t="s">
        <v>126</v>
      </c>
      <c r="H14" s="7">
        <v>16</v>
      </c>
      <c r="I14" s="7" t="s">
        <v>127</v>
      </c>
      <c r="J14" s="7" t="s">
        <v>128</v>
      </c>
      <c r="K14" s="1"/>
      <c r="L14" s="1"/>
      <c r="M14" s="1"/>
      <c r="N14" s="1"/>
    </row>
    <row r="15" spans="1:14" ht="48" customHeight="1">
      <c r="A15" s="7">
        <v>12</v>
      </c>
      <c r="B15" s="8">
        <v>46160</v>
      </c>
      <c r="C15" s="8">
        <v>46166</v>
      </c>
      <c r="D15" s="7" t="s">
        <v>129</v>
      </c>
      <c r="E15" s="7" t="s">
        <v>130</v>
      </c>
      <c r="F15" s="7" t="s">
        <v>131</v>
      </c>
      <c r="G15" s="7" t="s">
        <v>132</v>
      </c>
      <c r="H15" s="7">
        <v>21</v>
      </c>
      <c r="I15" s="7" t="s">
        <v>133</v>
      </c>
      <c r="J15" s="7" t="s">
        <v>134</v>
      </c>
      <c r="K15" s="1"/>
      <c r="L15" s="1"/>
      <c r="M15" s="1"/>
      <c r="N15" s="1"/>
    </row>
    <row r="16" spans="1:14" ht="48" customHeight="1">
      <c r="A16" s="7">
        <v>13</v>
      </c>
      <c r="B16" s="8">
        <v>46167</v>
      </c>
      <c r="C16" s="8">
        <v>46173</v>
      </c>
      <c r="D16" s="7" t="s">
        <v>135</v>
      </c>
      <c r="E16" s="7" t="s">
        <v>136</v>
      </c>
      <c r="F16" s="7" t="s">
        <v>137</v>
      </c>
      <c r="G16" s="7" t="s">
        <v>138</v>
      </c>
      <c r="H16" s="7">
        <v>18</v>
      </c>
      <c r="I16" s="7" t="s">
        <v>133</v>
      </c>
      <c r="J16" s="7" t="s">
        <v>139</v>
      </c>
      <c r="K16" s="1"/>
      <c r="L16" s="1"/>
      <c r="M16" s="1"/>
      <c r="N16" s="1"/>
    </row>
    <row r="17" spans="1:14" ht="48" customHeight="1">
      <c r="A17" s="7">
        <v>14</v>
      </c>
      <c r="B17" s="8">
        <v>46174</v>
      </c>
      <c r="C17" s="8">
        <v>46180</v>
      </c>
      <c r="D17" s="7" t="s">
        <v>140</v>
      </c>
      <c r="E17" s="7" t="s">
        <v>141</v>
      </c>
      <c r="F17" s="7" t="s">
        <v>142</v>
      </c>
      <c r="G17" s="7" t="s">
        <v>143</v>
      </c>
      <c r="H17" s="7">
        <v>17</v>
      </c>
      <c r="I17" s="7" t="s">
        <v>133</v>
      </c>
      <c r="J17" s="7" t="s">
        <v>144</v>
      </c>
      <c r="K17" s="1"/>
      <c r="L17" s="1"/>
      <c r="M17" s="1"/>
      <c r="N17" s="1"/>
    </row>
    <row r="18" spans="1:14" ht="48" customHeight="1">
      <c r="A18" s="7">
        <v>15</v>
      </c>
      <c r="B18" s="8">
        <v>46181</v>
      </c>
      <c r="C18" s="8">
        <v>46187</v>
      </c>
      <c r="D18" s="7" t="s">
        <v>145</v>
      </c>
      <c r="E18" s="7" t="s">
        <v>146</v>
      </c>
      <c r="F18" s="7" t="s">
        <v>147</v>
      </c>
      <c r="G18" s="7" t="s">
        <v>148</v>
      </c>
      <c r="H18" s="7">
        <v>16</v>
      </c>
      <c r="I18" s="7" t="s">
        <v>133</v>
      </c>
      <c r="J18" s="7" t="s">
        <v>149</v>
      </c>
      <c r="K18" s="1"/>
      <c r="L18" s="1"/>
      <c r="M18" s="1"/>
      <c r="N18" s="1"/>
    </row>
    <row r="19" spans="1:14" ht="48" customHeight="1">
      <c r="A19" s="7">
        <v>16</v>
      </c>
      <c r="B19" s="8">
        <v>46188</v>
      </c>
      <c r="C19" s="8">
        <v>46189</v>
      </c>
      <c r="D19" s="7" t="s">
        <v>150</v>
      </c>
      <c r="E19" s="7" t="s">
        <v>151</v>
      </c>
      <c r="F19" s="7" t="s">
        <v>152</v>
      </c>
      <c r="G19" s="7" t="s">
        <v>153</v>
      </c>
      <c r="H19" s="7">
        <v>8</v>
      </c>
      <c r="I19" s="7" t="s">
        <v>133</v>
      </c>
      <c r="J19" s="7" t="s">
        <v>154</v>
      </c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J1"/>
    <mergeCell ref="A2:J2"/>
  </mergeCells>
  <conditionalFormatting sqref="A4:J19">
    <cfRule type="expression" dxfId="36" priority="1">
      <formula>$I4="Implementado"</formula>
    </cfRule>
    <cfRule type="expression" dxfId="35" priority="2">
      <formula>$I4="En progreso"</formula>
    </cfRule>
    <cfRule type="expression" dxfId="34" priority="3">
      <formula>$I4="Planificado"</formula>
    </cfRule>
    <cfRule type="expression" dxfId="33" priority="4">
      <formula>ISNUMBER(SEARCH("Octalysis", $D4))</formula>
    </cfRule>
  </conditionalFormatting>
  <conditionalFormatting sqref="H4:H19">
    <cfRule type="dataBar" priority="5">
      <dataBar>
        <cfvo type="min"/>
        <cfvo type="max"/>
        <color rgb="FF1F7A8C"/>
      </dataBar>
    </cfRule>
    <cfRule type="dataBar" priority="6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{DA76B85C-4735-8A86-476C-E32915E4BB75}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6B85C-4735-8A86-476C-E32915E4BB75}">
            <x14:dataBar>
              <x14:cfvo type="min"/>
              <x14:cfvo type="max"/>
              <x14:negativeFillColor auto="1"/>
              <x14:axisColor auto="1"/>
            </x14:dataBar>
          </x14:cfRule>
          <xm:sqref>H4:H19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"/>
  <sheetViews>
    <sheetView zoomScale="70" zoomScaleNormal="70" workbookViewId="0">
      <selection sqref="A1:L28"/>
    </sheetView>
  </sheetViews>
  <sheetFormatPr baseColWidth="10" defaultColWidth="9" defaultRowHeight="14.25"/>
  <cols>
    <col min="1" max="1" width="10" customWidth="1"/>
    <col min="2" max="2" width="30" customWidth="1"/>
    <col min="3" max="3" width="28" customWidth="1"/>
    <col min="4" max="4" width="65" customWidth="1"/>
    <col min="5" max="5" width="70" customWidth="1"/>
    <col min="6" max="6" width="12" customWidth="1"/>
    <col min="7" max="8" width="10" customWidth="1"/>
    <col min="9" max="9" width="24" customWidth="1"/>
    <col min="10" max="10" width="16" customWidth="1"/>
    <col min="11" max="11" width="45" customWidth="1"/>
    <col min="12" max="12" width="24" customWidth="1"/>
  </cols>
  <sheetData>
    <row r="1" spans="1:14" ht="27.95" customHeight="1">
      <c r="A1" s="14" t="s">
        <v>155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</row>
    <row r="2" spans="1:14">
      <c r="A2" s="16" t="s">
        <v>156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"/>
      <c r="N2" s="1"/>
    </row>
    <row r="3" spans="1:14" ht="30" customHeight="1">
      <c r="A3" s="6" t="s">
        <v>157</v>
      </c>
      <c r="B3" s="6" t="s">
        <v>158</v>
      </c>
      <c r="C3" s="6" t="s">
        <v>159</v>
      </c>
      <c r="D3" s="6" t="s">
        <v>160</v>
      </c>
      <c r="E3" s="6" t="s">
        <v>161</v>
      </c>
      <c r="F3" s="6" t="s">
        <v>162</v>
      </c>
      <c r="G3" s="6" t="s">
        <v>66</v>
      </c>
      <c r="H3" s="6" t="s">
        <v>59</v>
      </c>
      <c r="I3" s="6" t="s">
        <v>67</v>
      </c>
      <c r="J3" s="6" t="s">
        <v>163</v>
      </c>
      <c r="K3" s="6" t="s">
        <v>164</v>
      </c>
      <c r="L3" s="6" t="s">
        <v>165</v>
      </c>
      <c r="M3" s="1"/>
      <c r="N3" s="1"/>
    </row>
    <row r="4" spans="1:14" ht="48" customHeight="1">
      <c r="A4" s="7" t="s">
        <v>166</v>
      </c>
      <c r="B4" s="7" t="s">
        <v>167</v>
      </c>
      <c r="C4" s="7" t="s">
        <v>168</v>
      </c>
      <c r="D4" s="7" t="s">
        <v>169</v>
      </c>
      <c r="E4" s="7" t="s">
        <v>170</v>
      </c>
      <c r="F4" s="7" t="s">
        <v>171</v>
      </c>
      <c r="G4" s="7">
        <v>8</v>
      </c>
      <c r="H4" s="7">
        <v>2</v>
      </c>
      <c r="I4" s="7" t="s">
        <v>78</v>
      </c>
      <c r="J4" s="7" t="s">
        <v>172</v>
      </c>
      <c r="K4" s="7" t="s">
        <v>173</v>
      </c>
      <c r="L4" s="7" t="s">
        <v>174</v>
      </c>
      <c r="M4" s="1"/>
      <c r="N4" s="1"/>
    </row>
    <row r="5" spans="1:14" ht="48" customHeight="1">
      <c r="A5" s="7" t="s">
        <v>175</v>
      </c>
      <c r="B5" s="7" t="s">
        <v>176</v>
      </c>
      <c r="C5" s="7" t="s">
        <v>177</v>
      </c>
      <c r="D5" s="7" t="s">
        <v>178</v>
      </c>
      <c r="E5" s="7" t="s">
        <v>179</v>
      </c>
      <c r="F5" s="7" t="s">
        <v>171</v>
      </c>
      <c r="G5" s="7">
        <v>10</v>
      </c>
      <c r="H5" s="7">
        <v>2</v>
      </c>
      <c r="I5" s="7" t="s">
        <v>78</v>
      </c>
      <c r="J5" s="7" t="s">
        <v>172</v>
      </c>
      <c r="K5" s="7" t="s">
        <v>180</v>
      </c>
      <c r="L5" s="7" t="s">
        <v>166</v>
      </c>
      <c r="M5" s="1"/>
      <c r="N5" s="1"/>
    </row>
    <row r="6" spans="1:14" ht="48" customHeight="1">
      <c r="A6" s="7" t="s">
        <v>181</v>
      </c>
      <c r="B6" s="7" t="s">
        <v>182</v>
      </c>
      <c r="C6" s="7" t="s">
        <v>183</v>
      </c>
      <c r="D6" s="7" t="s">
        <v>184</v>
      </c>
      <c r="E6" s="7" t="s">
        <v>185</v>
      </c>
      <c r="F6" s="7" t="s">
        <v>171</v>
      </c>
      <c r="G6" s="7">
        <v>8</v>
      </c>
      <c r="H6" s="7">
        <v>3</v>
      </c>
      <c r="I6" s="7" t="s">
        <v>78</v>
      </c>
      <c r="J6" s="7" t="s">
        <v>172</v>
      </c>
      <c r="K6" s="7" t="s">
        <v>186</v>
      </c>
      <c r="L6" s="7" t="s">
        <v>166</v>
      </c>
      <c r="M6" s="1"/>
      <c r="N6" s="1"/>
    </row>
    <row r="7" spans="1:14" ht="48" customHeight="1">
      <c r="A7" s="7" t="s">
        <v>187</v>
      </c>
      <c r="B7" s="7" t="s">
        <v>188</v>
      </c>
      <c r="C7" s="7" t="s">
        <v>189</v>
      </c>
      <c r="D7" s="7" t="s">
        <v>190</v>
      </c>
      <c r="E7" s="7" t="s">
        <v>191</v>
      </c>
      <c r="F7" s="7" t="s">
        <v>171</v>
      </c>
      <c r="G7" s="7">
        <v>8</v>
      </c>
      <c r="H7" s="7">
        <v>3</v>
      </c>
      <c r="I7" s="7" t="s">
        <v>78</v>
      </c>
      <c r="J7" s="7" t="s">
        <v>172</v>
      </c>
      <c r="K7" s="7" t="s">
        <v>192</v>
      </c>
      <c r="L7" s="7" t="s">
        <v>181</v>
      </c>
      <c r="M7" s="1"/>
      <c r="N7" s="1"/>
    </row>
    <row r="8" spans="1:14" ht="48" customHeight="1">
      <c r="A8" s="7" t="s">
        <v>193</v>
      </c>
      <c r="B8" s="7" t="s">
        <v>194</v>
      </c>
      <c r="C8" s="7" t="s">
        <v>189</v>
      </c>
      <c r="D8" s="7" t="s">
        <v>195</v>
      </c>
      <c r="E8" s="7" t="s">
        <v>196</v>
      </c>
      <c r="F8" s="7" t="s">
        <v>171</v>
      </c>
      <c r="G8" s="7">
        <v>8</v>
      </c>
      <c r="H8" s="7">
        <v>4</v>
      </c>
      <c r="I8" s="7" t="s">
        <v>78</v>
      </c>
      <c r="J8" s="7" t="s">
        <v>172</v>
      </c>
      <c r="K8" s="7" t="s">
        <v>197</v>
      </c>
      <c r="L8" s="7" t="s">
        <v>187</v>
      </c>
      <c r="M8" s="1"/>
      <c r="N8" s="1"/>
    </row>
    <row r="9" spans="1:14" ht="48" customHeight="1">
      <c r="A9" s="7" t="s">
        <v>198</v>
      </c>
      <c r="B9" s="7" t="s">
        <v>199</v>
      </c>
      <c r="C9" s="7" t="s">
        <v>200</v>
      </c>
      <c r="D9" s="7" t="s">
        <v>201</v>
      </c>
      <c r="E9" s="7" t="s">
        <v>202</v>
      </c>
      <c r="F9" s="7" t="s">
        <v>171</v>
      </c>
      <c r="G9" s="7">
        <v>13</v>
      </c>
      <c r="H9" s="7">
        <v>4</v>
      </c>
      <c r="I9" s="7" t="s">
        <v>78</v>
      </c>
      <c r="J9" s="7" t="s">
        <v>172</v>
      </c>
      <c r="K9" s="7" t="s">
        <v>203</v>
      </c>
      <c r="L9" s="7" t="s">
        <v>204</v>
      </c>
      <c r="M9" s="1"/>
      <c r="N9" s="1"/>
    </row>
    <row r="10" spans="1:14" ht="48" customHeight="1">
      <c r="A10" s="7" t="s">
        <v>205</v>
      </c>
      <c r="B10" s="7" t="s">
        <v>206</v>
      </c>
      <c r="C10" s="7" t="s">
        <v>183</v>
      </c>
      <c r="D10" s="7" t="s">
        <v>207</v>
      </c>
      <c r="E10" s="7" t="s">
        <v>208</v>
      </c>
      <c r="F10" s="7" t="s">
        <v>171</v>
      </c>
      <c r="G10" s="7">
        <v>13</v>
      </c>
      <c r="H10" s="7">
        <v>5</v>
      </c>
      <c r="I10" s="7" t="s">
        <v>78</v>
      </c>
      <c r="J10" s="7" t="s">
        <v>172</v>
      </c>
      <c r="K10" s="7" t="s">
        <v>209</v>
      </c>
      <c r="L10" s="7" t="s">
        <v>187</v>
      </c>
      <c r="M10" s="1"/>
      <c r="N10" s="1"/>
    </row>
    <row r="11" spans="1:14" ht="48" customHeight="1">
      <c r="A11" s="7" t="s">
        <v>210</v>
      </c>
      <c r="B11" s="7" t="s">
        <v>211</v>
      </c>
      <c r="C11" s="7" t="s">
        <v>189</v>
      </c>
      <c r="D11" s="7" t="s">
        <v>212</v>
      </c>
      <c r="E11" s="7" t="s">
        <v>213</v>
      </c>
      <c r="F11" s="7" t="s">
        <v>171</v>
      </c>
      <c r="G11" s="7">
        <v>8</v>
      </c>
      <c r="H11" s="7">
        <v>5</v>
      </c>
      <c r="I11" s="7" t="s">
        <v>78</v>
      </c>
      <c r="J11" s="7" t="s">
        <v>172</v>
      </c>
      <c r="K11" s="7" t="s">
        <v>214</v>
      </c>
      <c r="L11" s="7" t="s">
        <v>205</v>
      </c>
      <c r="M11" s="1"/>
      <c r="N11" s="1"/>
    </row>
    <row r="12" spans="1:14" ht="48" customHeight="1">
      <c r="A12" s="7" t="s">
        <v>215</v>
      </c>
      <c r="B12" s="7" t="s">
        <v>216</v>
      </c>
      <c r="C12" s="7" t="s">
        <v>200</v>
      </c>
      <c r="D12" s="7" t="s">
        <v>217</v>
      </c>
      <c r="E12" s="7" t="s">
        <v>218</v>
      </c>
      <c r="F12" s="7" t="s">
        <v>171</v>
      </c>
      <c r="G12" s="7">
        <v>13</v>
      </c>
      <c r="H12" s="7">
        <v>6</v>
      </c>
      <c r="I12" s="7" t="s">
        <v>78</v>
      </c>
      <c r="J12" s="7" t="s">
        <v>172</v>
      </c>
      <c r="K12" s="7" t="s">
        <v>219</v>
      </c>
      <c r="L12" s="7" t="s">
        <v>187</v>
      </c>
      <c r="M12" s="1"/>
      <c r="N12" s="1"/>
    </row>
    <row r="13" spans="1:14" ht="48" customHeight="1">
      <c r="A13" s="7" t="s">
        <v>220</v>
      </c>
      <c r="B13" s="7" t="s">
        <v>221</v>
      </c>
      <c r="C13" s="7" t="s">
        <v>222</v>
      </c>
      <c r="D13" s="7" t="s">
        <v>223</v>
      </c>
      <c r="E13" s="7" t="s">
        <v>224</v>
      </c>
      <c r="F13" s="7" t="s">
        <v>225</v>
      </c>
      <c r="G13" s="7">
        <v>8</v>
      </c>
      <c r="H13" s="7">
        <v>6</v>
      </c>
      <c r="I13" s="7" t="s">
        <v>109</v>
      </c>
      <c r="J13" s="7" t="s">
        <v>172</v>
      </c>
      <c r="K13" s="7" t="s">
        <v>226</v>
      </c>
      <c r="L13" s="7" t="s">
        <v>215</v>
      </c>
      <c r="M13" s="1"/>
      <c r="N13" s="1"/>
    </row>
    <row r="14" spans="1:14" ht="48" customHeight="1">
      <c r="A14" s="7" t="s">
        <v>227</v>
      </c>
      <c r="B14" s="7" t="s">
        <v>228</v>
      </c>
      <c r="C14" s="7" t="s">
        <v>189</v>
      </c>
      <c r="D14" s="7" t="s">
        <v>229</v>
      </c>
      <c r="E14" s="7" t="s">
        <v>230</v>
      </c>
      <c r="F14" s="7" t="s">
        <v>171</v>
      </c>
      <c r="G14" s="7">
        <v>8</v>
      </c>
      <c r="H14" s="7">
        <v>7</v>
      </c>
      <c r="I14" s="7" t="s">
        <v>78</v>
      </c>
      <c r="J14" s="7" t="s">
        <v>172</v>
      </c>
      <c r="K14" s="7" t="s">
        <v>231</v>
      </c>
      <c r="L14" s="7" t="s">
        <v>175</v>
      </c>
      <c r="M14" s="1"/>
      <c r="N14" s="1"/>
    </row>
    <row r="15" spans="1:14" ht="48" customHeight="1">
      <c r="A15" s="7" t="s">
        <v>232</v>
      </c>
      <c r="B15" s="7" t="s">
        <v>233</v>
      </c>
      <c r="C15" s="7" t="s">
        <v>168</v>
      </c>
      <c r="D15" s="7" t="s">
        <v>234</v>
      </c>
      <c r="E15" s="7" t="s">
        <v>235</v>
      </c>
      <c r="F15" s="7" t="s">
        <v>225</v>
      </c>
      <c r="G15" s="7">
        <v>5</v>
      </c>
      <c r="H15" s="7">
        <v>7</v>
      </c>
      <c r="I15" s="7" t="s">
        <v>78</v>
      </c>
      <c r="J15" s="7" t="s">
        <v>172</v>
      </c>
      <c r="K15" s="7" t="s">
        <v>236</v>
      </c>
      <c r="L15" s="7" t="s">
        <v>227</v>
      </c>
      <c r="M15" s="1"/>
      <c r="N15" s="1"/>
    </row>
    <row r="16" spans="1:14" ht="48" customHeight="1">
      <c r="A16" s="7" t="s">
        <v>237</v>
      </c>
      <c r="B16" s="7" t="s">
        <v>238</v>
      </c>
      <c r="C16" s="7" t="s">
        <v>239</v>
      </c>
      <c r="D16" s="7" t="s">
        <v>240</v>
      </c>
      <c r="E16" s="7" t="s">
        <v>241</v>
      </c>
      <c r="F16" s="7" t="s">
        <v>171</v>
      </c>
      <c r="G16" s="7">
        <v>8</v>
      </c>
      <c r="H16" s="7">
        <v>8</v>
      </c>
      <c r="I16" s="7" t="s">
        <v>78</v>
      </c>
      <c r="J16" s="7" t="s">
        <v>172</v>
      </c>
      <c r="K16" s="7" t="s">
        <v>242</v>
      </c>
      <c r="L16" s="7" t="s">
        <v>243</v>
      </c>
      <c r="M16" s="1"/>
      <c r="N16" s="1"/>
    </row>
    <row r="17" spans="1:14" ht="48" customHeight="1">
      <c r="A17" s="7" t="s">
        <v>244</v>
      </c>
      <c r="B17" s="7" t="s">
        <v>245</v>
      </c>
      <c r="C17" s="7" t="s">
        <v>189</v>
      </c>
      <c r="D17" s="7" t="s">
        <v>246</v>
      </c>
      <c r="E17" s="7" t="s">
        <v>247</v>
      </c>
      <c r="F17" s="7" t="s">
        <v>225</v>
      </c>
      <c r="G17" s="7">
        <v>8</v>
      </c>
      <c r="H17" s="7">
        <v>8</v>
      </c>
      <c r="I17" s="7" t="s">
        <v>109</v>
      </c>
      <c r="J17" s="7" t="s">
        <v>172</v>
      </c>
      <c r="K17" s="7" t="s">
        <v>248</v>
      </c>
      <c r="L17" s="7" t="s">
        <v>249</v>
      </c>
      <c r="M17" s="1"/>
      <c r="N17" s="1"/>
    </row>
    <row r="18" spans="1:14" ht="48" customHeight="1">
      <c r="A18" s="7" t="s">
        <v>250</v>
      </c>
      <c r="B18" s="7" t="s">
        <v>251</v>
      </c>
      <c r="C18" s="7" t="s">
        <v>252</v>
      </c>
      <c r="D18" s="7" t="s">
        <v>253</v>
      </c>
      <c r="E18" s="7" t="s">
        <v>254</v>
      </c>
      <c r="F18" s="7" t="s">
        <v>225</v>
      </c>
      <c r="G18" s="7">
        <v>8</v>
      </c>
      <c r="H18" s="7">
        <v>9</v>
      </c>
      <c r="I18" s="7" t="s">
        <v>255</v>
      </c>
      <c r="J18" s="7" t="s">
        <v>256</v>
      </c>
      <c r="K18" s="7" t="s">
        <v>257</v>
      </c>
      <c r="L18" s="7" t="s">
        <v>258</v>
      </c>
      <c r="M18" s="1"/>
      <c r="N18" s="1"/>
    </row>
    <row r="19" spans="1:14" ht="48" customHeight="1">
      <c r="A19" s="7" t="s">
        <v>259</v>
      </c>
      <c r="B19" s="7" t="s">
        <v>260</v>
      </c>
      <c r="C19" s="7" t="s">
        <v>261</v>
      </c>
      <c r="D19" s="7" t="s">
        <v>262</v>
      </c>
      <c r="E19" s="7" t="s">
        <v>263</v>
      </c>
      <c r="F19" s="7" t="s">
        <v>225</v>
      </c>
      <c r="G19" s="7">
        <v>8</v>
      </c>
      <c r="H19" s="7">
        <v>9</v>
      </c>
      <c r="I19" s="7" t="s">
        <v>255</v>
      </c>
      <c r="J19" s="7" t="s">
        <v>256</v>
      </c>
      <c r="K19" s="7" t="s">
        <v>257</v>
      </c>
      <c r="L19" s="7" t="s">
        <v>250</v>
      </c>
      <c r="M19" s="1"/>
      <c r="N19" s="1"/>
    </row>
    <row r="20" spans="1:14" ht="48" customHeight="1">
      <c r="A20" s="7" t="s">
        <v>264</v>
      </c>
      <c r="B20" s="7" t="s">
        <v>265</v>
      </c>
      <c r="C20" s="7" t="s">
        <v>266</v>
      </c>
      <c r="D20" s="7" t="s">
        <v>267</v>
      </c>
      <c r="E20" s="7" t="s">
        <v>268</v>
      </c>
      <c r="F20" s="7" t="s">
        <v>171</v>
      </c>
      <c r="G20" s="7">
        <v>8</v>
      </c>
      <c r="H20" s="7">
        <v>10</v>
      </c>
      <c r="I20" s="7" t="s">
        <v>121</v>
      </c>
      <c r="J20" s="7" t="s">
        <v>269</v>
      </c>
      <c r="K20" s="7" t="s">
        <v>270</v>
      </c>
      <c r="L20" s="7" t="s">
        <v>166</v>
      </c>
      <c r="M20" s="1"/>
      <c r="N20" s="1"/>
    </row>
    <row r="21" spans="1:14" ht="48" customHeight="1">
      <c r="A21" s="7" t="s">
        <v>271</v>
      </c>
      <c r="B21" s="7" t="s">
        <v>272</v>
      </c>
      <c r="C21" s="7" t="s">
        <v>273</v>
      </c>
      <c r="D21" s="7" t="s">
        <v>274</v>
      </c>
      <c r="E21" s="7" t="s">
        <v>275</v>
      </c>
      <c r="F21" s="7" t="s">
        <v>171</v>
      </c>
      <c r="G21" s="7">
        <v>5</v>
      </c>
      <c r="H21" s="7">
        <v>11</v>
      </c>
      <c r="I21" s="7" t="s">
        <v>127</v>
      </c>
      <c r="J21" s="7" t="s">
        <v>269</v>
      </c>
      <c r="K21" s="7" t="s">
        <v>276</v>
      </c>
      <c r="L21" s="7" t="s">
        <v>264</v>
      </c>
      <c r="M21" s="1"/>
      <c r="N21" s="1"/>
    </row>
    <row r="22" spans="1:14" ht="48" customHeight="1">
      <c r="A22" s="7" t="s">
        <v>277</v>
      </c>
      <c r="B22" s="7" t="s">
        <v>278</v>
      </c>
      <c r="C22" s="7" t="s">
        <v>266</v>
      </c>
      <c r="D22" s="7" t="s">
        <v>279</v>
      </c>
      <c r="E22" s="7" t="s">
        <v>280</v>
      </c>
      <c r="F22" s="7" t="s">
        <v>225</v>
      </c>
      <c r="G22" s="7">
        <v>8</v>
      </c>
      <c r="H22" s="7">
        <v>11</v>
      </c>
      <c r="I22" s="7" t="s">
        <v>127</v>
      </c>
      <c r="J22" s="7" t="s">
        <v>269</v>
      </c>
      <c r="K22" s="7" t="s">
        <v>276</v>
      </c>
      <c r="L22" s="7" t="s">
        <v>281</v>
      </c>
      <c r="M22" s="1"/>
      <c r="N22" s="1"/>
    </row>
    <row r="23" spans="1:14" ht="48" customHeight="1">
      <c r="A23" s="7" t="s">
        <v>282</v>
      </c>
      <c r="B23" s="7" t="s">
        <v>283</v>
      </c>
      <c r="C23" s="7" t="s">
        <v>252</v>
      </c>
      <c r="D23" s="7" t="s">
        <v>284</v>
      </c>
      <c r="E23" s="7" t="s">
        <v>285</v>
      </c>
      <c r="F23" s="7" t="s">
        <v>225</v>
      </c>
      <c r="G23" s="7">
        <v>8</v>
      </c>
      <c r="H23" s="7">
        <v>12</v>
      </c>
      <c r="I23" s="7" t="s">
        <v>133</v>
      </c>
      <c r="J23" s="7" t="s">
        <v>269</v>
      </c>
      <c r="K23" s="7" t="s">
        <v>286</v>
      </c>
      <c r="L23" s="7" t="s">
        <v>287</v>
      </c>
      <c r="M23" s="1"/>
      <c r="N23" s="1"/>
    </row>
    <row r="24" spans="1:14" ht="48" customHeight="1">
      <c r="A24" s="7" t="s">
        <v>288</v>
      </c>
      <c r="B24" s="7" t="s">
        <v>289</v>
      </c>
      <c r="C24" s="7" t="s">
        <v>222</v>
      </c>
      <c r="D24" s="7" t="s">
        <v>290</v>
      </c>
      <c r="E24" s="7" t="s">
        <v>291</v>
      </c>
      <c r="F24" s="7" t="s">
        <v>225</v>
      </c>
      <c r="G24" s="7">
        <v>8</v>
      </c>
      <c r="H24" s="7">
        <v>12</v>
      </c>
      <c r="I24" s="7" t="s">
        <v>133</v>
      </c>
      <c r="J24" s="7" t="s">
        <v>269</v>
      </c>
      <c r="K24" s="7" t="s">
        <v>286</v>
      </c>
      <c r="L24" s="7" t="s">
        <v>292</v>
      </c>
      <c r="M24" s="1"/>
      <c r="N24" s="1"/>
    </row>
    <row r="25" spans="1:14" ht="48" customHeight="1">
      <c r="A25" s="7" t="s">
        <v>293</v>
      </c>
      <c r="B25" s="7" t="s">
        <v>294</v>
      </c>
      <c r="C25" s="7" t="s">
        <v>252</v>
      </c>
      <c r="D25" s="7" t="s">
        <v>295</v>
      </c>
      <c r="E25" s="7" t="s">
        <v>296</v>
      </c>
      <c r="F25" s="7" t="s">
        <v>225</v>
      </c>
      <c r="G25" s="7">
        <v>5</v>
      </c>
      <c r="H25" s="7">
        <v>12</v>
      </c>
      <c r="I25" s="7" t="s">
        <v>133</v>
      </c>
      <c r="J25" s="7" t="s">
        <v>269</v>
      </c>
      <c r="K25" s="7" t="s">
        <v>286</v>
      </c>
      <c r="L25" s="7" t="s">
        <v>297</v>
      </c>
      <c r="M25" s="1"/>
      <c r="N25" s="1"/>
    </row>
    <row r="26" spans="1:14" ht="48" customHeight="1">
      <c r="A26" s="7" t="s">
        <v>298</v>
      </c>
      <c r="B26" s="7" t="s">
        <v>135</v>
      </c>
      <c r="C26" s="7" t="s">
        <v>266</v>
      </c>
      <c r="D26" s="7" t="s">
        <v>299</v>
      </c>
      <c r="E26" s="7" t="s">
        <v>300</v>
      </c>
      <c r="F26" s="7" t="s">
        <v>171</v>
      </c>
      <c r="G26" s="7">
        <v>13</v>
      </c>
      <c r="H26" s="7">
        <v>13</v>
      </c>
      <c r="I26" s="7" t="s">
        <v>133</v>
      </c>
      <c r="J26" s="7" t="s">
        <v>269</v>
      </c>
      <c r="K26" s="7" t="s">
        <v>286</v>
      </c>
      <c r="L26" s="7" t="s">
        <v>301</v>
      </c>
      <c r="M26" s="1"/>
      <c r="N26" s="1"/>
    </row>
    <row r="27" spans="1:14" ht="48" customHeight="1">
      <c r="A27" s="7" t="s">
        <v>302</v>
      </c>
      <c r="B27" s="7" t="s">
        <v>303</v>
      </c>
      <c r="C27" s="7" t="s">
        <v>168</v>
      </c>
      <c r="D27" s="7" t="s">
        <v>304</v>
      </c>
      <c r="E27" s="7" t="s">
        <v>305</v>
      </c>
      <c r="F27" s="7" t="s">
        <v>171</v>
      </c>
      <c r="G27" s="7">
        <v>8</v>
      </c>
      <c r="H27" s="7">
        <v>14</v>
      </c>
      <c r="I27" s="7" t="s">
        <v>133</v>
      </c>
      <c r="J27" s="7" t="s">
        <v>256</v>
      </c>
      <c r="K27" s="7" t="s">
        <v>306</v>
      </c>
      <c r="L27" s="7" t="s">
        <v>307</v>
      </c>
      <c r="M27" s="1"/>
      <c r="N27" s="1"/>
    </row>
    <row r="28" spans="1:14" ht="48" customHeight="1">
      <c r="A28" s="7" t="s">
        <v>308</v>
      </c>
      <c r="B28" s="7" t="s">
        <v>309</v>
      </c>
      <c r="C28" s="7" t="s">
        <v>32</v>
      </c>
      <c r="D28" s="7" t="s">
        <v>310</v>
      </c>
      <c r="E28" s="7" t="s">
        <v>311</v>
      </c>
      <c r="F28" s="7" t="s">
        <v>171</v>
      </c>
      <c r="G28" s="7">
        <v>8</v>
      </c>
      <c r="H28" s="7">
        <v>16</v>
      </c>
      <c r="I28" s="7" t="s">
        <v>133</v>
      </c>
      <c r="J28" s="7" t="s">
        <v>256</v>
      </c>
      <c r="K28" s="7" t="s">
        <v>312</v>
      </c>
      <c r="L28" s="7" t="s">
        <v>313</v>
      </c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L1"/>
    <mergeCell ref="A2:L2"/>
  </mergeCells>
  <conditionalFormatting sqref="A4:L28">
    <cfRule type="expression" dxfId="32" priority="1">
      <formula>$I4="Implementado"</formula>
    </cfRule>
    <cfRule type="expression" dxfId="31" priority="2">
      <formula>$I4="En progreso"</formula>
    </cfRule>
    <cfRule type="expression" dxfId="30" priority="3">
      <formula>$I4="Planificado"</formula>
    </cfRule>
    <cfRule type="expression" dxfId="29" priority="4">
      <formula>ISNUMBER(SEARCH("Octalysis", $D4))</formula>
    </cfRule>
  </conditionalFormatting>
  <dataValidations count="2">
    <dataValidation type="list" sqref="I4:I28" xr:uid="{00000000-0002-0000-0200-000000000000}">
      <formula1>"Implementado,Implementado con ajustes,Documentado,Documentado / implementado,Aplicado en diseño,Aplicado en diseño / pendiente de evidencia técnica,En progreso,Planificado / en progreso,Planificado"</formula1>
    </dataValidation>
    <dataValidation type="list" sqref="F4:F28" xr:uid="{00000000-0002-0000-0200-000001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"/>
  <sheetViews>
    <sheetView zoomScale="70" zoomScaleNormal="70" workbookViewId="0">
      <selection sqref="A1:K27"/>
    </sheetView>
  </sheetViews>
  <sheetFormatPr baseColWidth="10" defaultColWidth="9" defaultRowHeight="14.25"/>
  <cols>
    <col min="1" max="1" width="10" customWidth="1"/>
    <col min="2" max="2" width="36" customWidth="1"/>
    <col min="3" max="3" width="60" customWidth="1"/>
    <col min="4" max="4" width="70" customWidth="1"/>
    <col min="5" max="5" width="12" customWidth="1"/>
    <col min="6" max="7" width="10" customWidth="1"/>
    <col min="8" max="8" width="26" customWidth="1"/>
    <col min="9" max="9" width="16" customWidth="1"/>
    <col min="10" max="10" width="48" customWidth="1"/>
    <col min="11" max="11" width="24" customWidth="1"/>
  </cols>
  <sheetData>
    <row r="1" spans="1:14" ht="27.95" customHeight="1">
      <c r="A1" s="14" t="s">
        <v>314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</row>
    <row r="2" spans="1:14">
      <c r="A2" s="16" t="s">
        <v>315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"/>
      <c r="M2" s="1"/>
      <c r="N2" s="1"/>
    </row>
    <row r="3" spans="1:14" ht="30" customHeight="1">
      <c r="A3" s="6" t="s">
        <v>157</v>
      </c>
      <c r="B3" s="6" t="s">
        <v>316</v>
      </c>
      <c r="C3" s="6" t="s">
        <v>317</v>
      </c>
      <c r="D3" s="6" t="s">
        <v>161</v>
      </c>
      <c r="E3" s="6" t="s">
        <v>162</v>
      </c>
      <c r="F3" s="6" t="s">
        <v>66</v>
      </c>
      <c r="G3" s="6" t="s">
        <v>59</v>
      </c>
      <c r="H3" s="6" t="s">
        <v>67</v>
      </c>
      <c r="I3" s="6" t="s">
        <v>163</v>
      </c>
      <c r="J3" s="6" t="s">
        <v>164</v>
      </c>
      <c r="K3" s="6" t="s">
        <v>165</v>
      </c>
      <c r="L3" s="1"/>
      <c r="M3" s="1"/>
      <c r="N3" s="1"/>
    </row>
    <row r="4" spans="1:14" ht="48" customHeight="1">
      <c r="A4" s="7" t="s">
        <v>318</v>
      </c>
      <c r="B4" s="7" t="s">
        <v>319</v>
      </c>
      <c r="C4" s="7" t="s">
        <v>320</v>
      </c>
      <c r="D4" s="7" t="s">
        <v>321</v>
      </c>
      <c r="E4" s="7" t="s">
        <v>171</v>
      </c>
      <c r="F4" s="7">
        <v>5</v>
      </c>
      <c r="G4" s="7">
        <v>1</v>
      </c>
      <c r="H4" s="7" t="s">
        <v>78</v>
      </c>
      <c r="I4" s="7" t="s">
        <v>172</v>
      </c>
      <c r="J4" s="7" t="s">
        <v>322</v>
      </c>
      <c r="K4" s="7" t="s">
        <v>323</v>
      </c>
      <c r="L4" s="1"/>
      <c r="M4" s="1"/>
      <c r="N4" s="1"/>
    </row>
    <row r="5" spans="1:14" ht="48" customHeight="1">
      <c r="A5" s="7" t="s">
        <v>324</v>
      </c>
      <c r="B5" s="7" t="s">
        <v>325</v>
      </c>
      <c r="C5" s="7" t="s">
        <v>326</v>
      </c>
      <c r="D5" s="7" t="s">
        <v>327</v>
      </c>
      <c r="E5" s="7" t="s">
        <v>171</v>
      </c>
      <c r="F5" s="7">
        <v>5</v>
      </c>
      <c r="G5" s="7">
        <v>1</v>
      </c>
      <c r="H5" s="7" t="s">
        <v>72</v>
      </c>
      <c r="I5" s="7" t="s">
        <v>172</v>
      </c>
      <c r="J5" s="7" t="s">
        <v>328</v>
      </c>
      <c r="K5" s="7" t="s">
        <v>318</v>
      </c>
      <c r="L5" s="1"/>
      <c r="M5" s="1"/>
      <c r="N5" s="1"/>
    </row>
    <row r="6" spans="1:14" ht="48" customHeight="1">
      <c r="A6" s="7" t="s">
        <v>329</v>
      </c>
      <c r="B6" s="7" t="s">
        <v>330</v>
      </c>
      <c r="C6" s="7" t="s">
        <v>331</v>
      </c>
      <c r="D6" s="7" t="s">
        <v>332</v>
      </c>
      <c r="E6" s="7" t="s">
        <v>171</v>
      </c>
      <c r="F6" s="7">
        <v>3</v>
      </c>
      <c r="G6" s="7">
        <v>1</v>
      </c>
      <c r="H6" s="7" t="s">
        <v>333</v>
      </c>
      <c r="I6" s="7" t="s">
        <v>334</v>
      </c>
      <c r="J6" s="7" t="s">
        <v>335</v>
      </c>
      <c r="K6" s="7" t="s">
        <v>324</v>
      </c>
      <c r="L6" s="1"/>
      <c r="M6" s="1"/>
      <c r="N6" s="1"/>
    </row>
    <row r="7" spans="1:14" ht="48" customHeight="1">
      <c r="A7" s="7" t="s">
        <v>174</v>
      </c>
      <c r="B7" s="7" t="s">
        <v>336</v>
      </c>
      <c r="C7" s="7" t="s">
        <v>337</v>
      </c>
      <c r="D7" s="7" t="s">
        <v>338</v>
      </c>
      <c r="E7" s="7" t="s">
        <v>171</v>
      </c>
      <c r="F7" s="7">
        <v>8</v>
      </c>
      <c r="G7" s="7">
        <v>1</v>
      </c>
      <c r="H7" s="7" t="s">
        <v>78</v>
      </c>
      <c r="I7" s="7" t="s">
        <v>339</v>
      </c>
      <c r="J7" s="7" t="s">
        <v>340</v>
      </c>
      <c r="K7" s="7" t="s">
        <v>324</v>
      </c>
      <c r="L7" s="1"/>
      <c r="M7" s="1"/>
      <c r="N7" s="1"/>
    </row>
    <row r="8" spans="1:14" ht="48" customHeight="1">
      <c r="A8" s="7" t="s">
        <v>341</v>
      </c>
      <c r="B8" s="7" t="s">
        <v>342</v>
      </c>
      <c r="C8" s="7" t="s">
        <v>343</v>
      </c>
      <c r="D8" s="7" t="s">
        <v>344</v>
      </c>
      <c r="E8" s="7" t="s">
        <v>171</v>
      </c>
      <c r="F8" s="7">
        <v>8</v>
      </c>
      <c r="G8" s="7">
        <v>2</v>
      </c>
      <c r="H8" s="7" t="s">
        <v>78</v>
      </c>
      <c r="I8" s="7" t="s">
        <v>172</v>
      </c>
      <c r="J8" s="7" t="s">
        <v>345</v>
      </c>
      <c r="K8" s="7" t="s">
        <v>174</v>
      </c>
      <c r="L8" s="1"/>
      <c r="M8" s="1"/>
      <c r="N8" s="1"/>
    </row>
    <row r="9" spans="1:14" ht="48" customHeight="1">
      <c r="A9" s="7" t="s">
        <v>346</v>
      </c>
      <c r="B9" s="7" t="s">
        <v>347</v>
      </c>
      <c r="C9" s="7" t="s">
        <v>348</v>
      </c>
      <c r="D9" s="7" t="s">
        <v>349</v>
      </c>
      <c r="E9" s="7" t="s">
        <v>171</v>
      </c>
      <c r="F9" s="7">
        <v>8</v>
      </c>
      <c r="G9" s="7">
        <v>3</v>
      </c>
      <c r="H9" s="7" t="s">
        <v>78</v>
      </c>
      <c r="I9" s="7" t="s">
        <v>172</v>
      </c>
      <c r="J9" s="7" t="s">
        <v>350</v>
      </c>
      <c r="K9" s="7" t="s">
        <v>174</v>
      </c>
      <c r="L9" s="1"/>
      <c r="M9" s="1"/>
      <c r="N9" s="1"/>
    </row>
    <row r="10" spans="1:14" ht="48" customHeight="1">
      <c r="A10" s="7" t="s">
        <v>351</v>
      </c>
      <c r="B10" s="7" t="s">
        <v>352</v>
      </c>
      <c r="C10" s="7" t="s">
        <v>353</v>
      </c>
      <c r="D10" s="7" t="s">
        <v>354</v>
      </c>
      <c r="E10" s="7" t="s">
        <v>171</v>
      </c>
      <c r="F10" s="7">
        <v>8</v>
      </c>
      <c r="G10" s="7">
        <v>4</v>
      </c>
      <c r="H10" s="7" t="s">
        <v>78</v>
      </c>
      <c r="I10" s="7" t="s">
        <v>172</v>
      </c>
      <c r="J10" s="7" t="s">
        <v>355</v>
      </c>
      <c r="K10" s="7" t="s">
        <v>346</v>
      </c>
      <c r="L10" s="1"/>
      <c r="M10" s="1"/>
      <c r="N10" s="1"/>
    </row>
    <row r="11" spans="1:14" ht="48" customHeight="1">
      <c r="A11" s="7" t="s">
        <v>356</v>
      </c>
      <c r="B11" s="7" t="s">
        <v>357</v>
      </c>
      <c r="C11" s="7" t="s">
        <v>358</v>
      </c>
      <c r="D11" s="7" t="s">
        <v>359</v>
      </c>
      <c r="E11" s="7" t="s">
        <v>171</v>
      </c>
      <c r="F11" s="7">
        <v>8</v>
      </c>
      <c r="G11" s="7">
        <v>5</v>
      </c>
      <c r="H11" s="7" t="s">
        <v>78</v>
      </c>
      <c r="I11" s="7" t="s">
        <v>172</v>
      </c>
      <c r="J11" s="7" t="s">
        <v>360</v>
      </c>
      <c r="K11" s="7" t="s">
        <v>346</v>
      </c>
      <c r="L11" s="1"/>
      <c r="M11" s="1"/>
      <c r="N11" s="1"/>
    </row>
    <row r="12" spans="1:14" ht="48" customHeight="1">
      <c r="A12" s="7" t="s">
        <v>361</v>
      </c>
      <c r="B12" s="7" t="s">
        <v>362</v>
      </c>
      <c r="C12" s="7" t="s">
        <v>363</v>
      </c>
      <c r="D12" s="7" t="s">
        <v>364</v>
      </c>
      <c r="E12" s="7" t="s">
        <v>171</v>
      </c>
      <c r="F12" s="7">
        <v>8</v>
      </c>
      <c r="G12" s="7">
        <v>6</v>
      </c>
      <c r="H12" s="7" t="s">
        <v>78</v>
      </c>
      <c r="I12" s="7" t="s">
        <v>172</v>
      </c>
      <c r="J12" s="7" t="s">
        <v>365</v>
      </c>
      <c r="K12" s="7" t="s">
        <v>346</v>
      </c>
      <c r="L12" s="1"/>
      <c r="M12" s="1"/>
      <c r="N12" s="1"/>
    </row>
    <row r="13" spans="1:14" ht="48" customHeight="1">
      <c r="A13" s="7" t="s">
        <v>366</v>
      </c>
      <c r="B13" s="7" t="s">
        <v>367</v>
      </c>
      <c r="C13" s="7" t="s">
        <v>368</v>
      </c>
      <c r="D13" s="7" t="s">
        <v>369</v>
      </c>
      <c r="E13" s="7" t="s">
        <v>171</v>
      </c>
      <c r="F13" s="7">
        <v>5</v>
      </c>
      <c r="G13" s="7">
        <v>7</v>
      </c>
      <c r="H13" s="7" t="s">
        <v>78</v>
      </c>
      <c r="I13" s="7" t="s">
        <v>172</v>
      </c>
      <c r="J13" s="7" t="s">
        <v>370</v>
      </c>
      <c r="K13" s="7" t="s">
        <v>346</v>
      </c>
      <c r="L13" s="1"/>
      <c r="M13" s="1"/>
      <c r="N13" s="1"/>
    </row>
    <row r="14" spans="1:14" ht="48" customHeight="1">
      <c r="A14" s="7" t="s">
        <v>371</v>
      </c>
      <c r="B14" s="7" t="s">
        <v>372</v>
      </c>
      <c r="C14" s="7" t="s">
        <v>373</v>
      </c>
      <c r="D14" s="7" t="s">
        <v>374</v>
      </c>
      <c r="E14" s="7" t="s">
        <v>171</v>
      </c>
      <c r="F14" s="7">
        <v>5</v>
      </c>
      <c r="G14" s="7">
        <v>8</v>
      </c>
      <c r="H14" s="7" t="s">
        <v>78</v>
      </c>
      <c r="I14" s="7" t="s">
        <v>172</v>
      </c>
      <c r="J14" s="7" t="s">
        <v>375</v>
      </c>
      <c r="K14" s="7" t="s">
        <v>376</v>
      </c>
      <c r="L14" s="1"/>
      <c r="M14" s="1"/>
      <c r="N14" s="1"/>
    </row>
    <row r="15" spans="1:14" ht="48" customHeight="1">
      <c r="A15" s="7" t="s">
        <v>377</v>
      </c>
      <c r="B15" s="7" t="s">
        <v>378</v>
      </c>
      <c r="C15" s="7" t="s">
        <v>379</v>
      </c>
      <c r="D15" s="7" t="s">
        <v>380</v>
      </c>
      <c r="E15" s="7" t="s">
        <v>225</v>
      </c>
      <c r="F15" s="7">
        <v>8</v>
      </c>
      <c r="G15" s="7">
        <v>8</v>
      </c>
      <c r="H15" s="7" t="s">
        <v>109</v>
      </c>
      <c r="I15" s="7" t="s">
        <v>172</v>
      </c>
      <c r="J15" s="7" t="s">
        <v>381</v>
      </c>
      <c r="K15" s="7" t="s">
        <v>244</v>
      </c>
      <c r="L15" s="1"/>
      <c r="M15" s="1"/>
      <c r="N15" s="1"/>
    </row>
    <row r="16" spans="1:14" ht="48" customHeight="1">
      <c r="A16" s="7" t="s">
        <v>382</v>
      </c>
      <c r="B16" s="7" t="s">
        <v>383</v>
      </c>
      <c r="C16" s="7" t="s">
        <v>384</v>
      </c>
      <c r="D16" s="7" t="s">
        <v>385</v>
      </c>
      <c r="E16" s="7" t="s">
        <v>225</v>
      </c>
      <c r="F16" s="7">
        <v>8</v>
      </c>
      <c r="G16" s="7">
        <v>9</v>
      </c>
      <c r="H16" s="7" t="s">
        <v>255</v>
      </c>
      <c r="I16" s="7" t="s">
        <v>256</v>
      </c>
      <c r="J16" s="7" t="s">
        <v>386</v>
      </c>
      <c r="K16" s="7" t="s">
        <v>387</v>
      </c>
      <c r="L16" s="1"/>
      <c r="M16" s="1"/>
      <c r="N16" s="1"/>
    </row>
    <row r="17" spans="1:14" ht="48" customHeight="1">
      <c r="A17" s="7" t="s">
        <v>388</v>
      </c>
      <c r="B17" s="7" t="s">
        <v>389</v>
      </c>
      <c r="C17" s="7" t="s">
        <v>390</v>
      </c>
      <c r="D17" s="7" t="s">
        <v>391</v>
      </c>
      <c r="E17" s="7" t="s">
        <v>171</v>
      </c>
      <c r="F17" s="7">
        <v>5</v>
      </c>
      <c r="G17" s="7">
        <v>10</v>
      </c>
      <c r="H17" s="7" t="s">
        <v>121</v>
      </c>
      <c r="I17" s="7" t="s">
        <v>269</v>
      </c>
      <c r="J17" s="7" t="s">
        <v>392</v>
      </c>
      <c r="K17" s="7" t="s">
        <v>174</v>
      </c>
      <c r="L17" s="1"/>
      <c r="M17" s="1"/>
      <c r="N17" s="1"/>
    </row>
    <row r="18" spans="1:14" ht="48" customHeight="1">
      <c r="A18" s="7" t="s">
        <v>393</v>
      </c>
      <c r="B18" s="7" t="s">
        <v>394</v>
      </c>
      <c r="C18" s="7" t="s">
        <v>395</v>
      </c>
      <c r="D18" s="7" t="s">
        <v>396</v>
      </c>
      <c r="E18" s="7" t="s">
        <v>171</v>
      </c>
      <c r="F18" s="7">
        <v>5</v>
      </c>
      <c r="G18" s="7">
        <v>10</v>
      </c>
      <c r="H18" s="7" t="s">
        <v>121</v>
      </c>
      <c r="I18" s="7" t="s">
        <v>269</v>
      </c>
      <c r="J18" s="7" t="s">
        <v>397</v>
      </c>
      <c r="K18" s="7" t="s">
        <v>388</v>
      </c>
      <c r="L18" s="1"/>
      <c r="M18" s="1"/>
      <c r="N18" s="1"/>
    </row>
    <row r="19" spans="1:14" ht="48" customHeight="1">
      <c r="A19" s="7" t="s">
        <v>398</v>
      </c>
      <c r="B19" s="7" t="s">
        <v>399</v>
      </c>
      <c r="C19" s="7" t="s">
        <v>400</v>
      </c>
      <c r="D19" s="7" t="s">
        <v>401</v>
      </c>
      <c r="E19" s="7" t="s">
        <v>171</v>
      </c>
      <c r="F19" s="7">
        <v>5</v>
      </c>
      <c r="G19" s="7">
        <v>10</v>
      </c>
      <c r="H19" s="7" t="s">
        <v>121</v>
      </c>
      <c r="I19" s="7" t="s">
        <v>269</v>
      </c>
      <c r="J19" s="7" t="s">
        <v>402</v>
      </c>
      <c r="K19" s="7" t="s">
        <v>388</v>
      </c>
      <c r="L19" s="1"/>
      <c r="M19" s="1"/>
      <c r="N19" s="1"/>
    </row>
    <row r="20" spans="1:14" ht="48" customHeight="1">
      <c r="A20" s="7" t="s">
        <v>403</v>
      </c>
      <c r="B20" s="7" t="s">
        <v>404</v>
      </c>
      <c r="C20" s="7" t="s">
        <v>405</v>
      </c>
      <c r="D20" s="7" t="s">
        <v>406</v>
      </c>
      <c r="E20" s="7" t="s">
        <v>225</v>
      </c>
      <c r="F20" s="7">
        <v>8</v>
      </c>
      <c r="G20" s="7">
        <v>11</v>
      </c>
      <c r="H20" s="7" t="s">
        <v>127</v>
      </c>
      <c r="I20" s="7" t="s">
        <v>269</v>
      </c>
      <c r="J20" s="7" t="s">
        <v>276</v>
      </c>
      <c r="K20" s="7" t="s">
        <v>393</v>
      </c>
      <c r="L20" s="1"/>
      <c r="M20" s="1"/>
      <c r="N20" s="1"/>
    </row>
    <row r="21" spans="1:14" ht="48" customHeight="1">
      <c r="A21" s="7" t="s">
        <v>407</v>
      </c>
      <c r="B21" s="7" t="s">
        <v>408</v>
      </c>
      <c r="C21" s="7" t="s">
        <v>409</v>
      </c>
      <c r="D21" s="7" t="s">
        <v>410</v>
      </c>
      <c r="E21" s="7" t="s">
        <v>225</v>
      </c>
      <c r="F21" s="7">
        <v>8</v>
      </c>
      <c r="G21" s="7">
        <v>12</v>
      </c>
      <c r="H21" s="7" t="s">
        <v>133</v>
      </c>
      <c r="I21" s="7" t="s">
        <v>269</v>
      </c>
      <c r="J21" s="7" t="s">
        <v>411</v>
      </c>
      <c r="K21" s="7" t="s">
        <v>412</v>
      </c>
      <c r="L21" s="1"/>
      <c r="M21" s="1"/>
      <c r="N21" s="1"/>
    </row>
    <row r="22" spans="1:14" ht="48" customHeight="1">
      <c r="A22" s="7" t="s">
        <v>413</v>
      </c>
      <c r="B22" s="7" t="s">
        <v>414</v>
      </c>
      <c r="C22" s="7" t="s">
        <v>415</v>
      </c>
      <c r="D22" s="7" t="s">
        <v>416</v>
      </c>
      <c r="E22" s="7" t="s">
        <v>171</v>
      </c>
      <c r="F22" s="7">
        <v>8</v>
      </c>
      <c r="G22" s="7">
        <v>13</v>
      </c>
      <c r="H22" s="7" t="s">
        <v>133</v>
      </c>
      <c r="I22" s="7" t="s">
        <v>269</v>
      </c>
      <c r="J22" s="7" t="s">
        <v>411</v>
      </c>
      <c r="K22" s="7" t="s">
        <v>298</v>
      </c>
      <c r="L22" s="1"/>
      <c r="M22" s="1"/>
      <c r="N22" s="1"/>
    </row>
    <row r="23" spans="1:14" ht="48" customHeight="1">
      <c r="A23" s="7" t="s">
        <v>417</v>
      </c>
      <c r="B23" s="7" t="s">
        <v>418</v>
      </c>
      <c r="C23" s="7" t="s">
        <v>419</v>
      </c>
      <c r="D23" s="7" t="s">
        <v>420</v>
      </c>
      <c r="E23" s="7" t="s">
        <v>225</v>
      </c>
      <c r="F23" s="7">
        <v>5</v>
      </c>
      <c r="G23" s="7">
        <v>13</v>
      </c>
      <c r="H23" s="7" t="s">
        <v>133</v>
      </c>
      <c r="I23" s="7" t="s">
        <v>269</v>
      </c>
      <c r="J23" s="7" t="s">
        <v>411</v>
      </c>
      <c r="K23" s="7" t="s">
        <v>413</v>
      </c>
      <c r="L23" s="1"/>
      <c r="M23" s="1"/>
      <c r="N23" s="1"/>
    </row>
    <row r="24" spans="1:14" ht="48" customHeight="1">
      <c r="A24" s="7" t="s">
        <v>421</v>
      </c>
      <c r="B24" s="7" t="s">
        <v>422</v>
      </c>
      <c r="C24" s="7" t="s">
        <v>423</v>
      </c>
      <c r="D24" s="7" t="s">
        <v>424</v>
      </c>
      <c r="E24" s="7" t="s">
        <v>171</v>
      </c>
      <c r="F24" s="7">
        <v>8</v>
      </c>
      <c r="G24" s="7">
        <v>14</v>
      </c>
      <c r="H24" s="7" t="s">
        <v>133</v>
      </c>
      <c r="I24" s="7" t="s">
        <v>256</v>
      </c>
      <c r="J24" s="7" t="s">
        <v>425</v>
      </c>
      <c r="K24" s="7" t="s">
        <v>426</v>
      </c>
      <c r="L24" s="1"/>
      <c r="M24" s="1"/>
      <c r="N24" s="1"/>
    </row>
    <row r="25" spans="1:14" ht="48" customHeight="1">
      <c r="A25" s="7" t="s">
        <v>427</v>
      </c>
      <c r="B25" s="7" t="s">
        <v>428</v>
      </c>
      <c r="C25" s="7" t="s">
        <v>429</v>
      </c>
      <c r="D25" s="7" t="s">
        <v>430</v>
      </c>
      <c r="E25" s="7" t="s">
        <v>225</v>
      </c>
      <c r="F25" s="7">
        <v>5</v>
      </c>
      <c r="G25" s="7">
        <v>14</v>
      </c>
      <c r="H25" s="7" t="s">
        <v>133</v>
      </c>
      <c r="I25" s="7" t="s">
        <v>256</v>
      </c>
      <c r="J25" s="7" t="s">
        <v>431</v>
      </c>
      <c r="K25" s="7" t="s">
        <v>302</v>
      </c>
      <c r="L25" s="1"/>
      <c r="M25" s="1"/>
      <c r="N25" s="1"/>
    </row>
    <row r="26" spans="1:14" ht="48" customHeight="1">
      <c r="A26" s="7" t="s">
        <v>432</v>
      </c>
      <c r="B26" s="7" t="s">
        <v>433</v>
      </c>
      <c r="C26" s="7" t="s">
        <v>434</v>
      </c>
      <c r="D26" s="7" t="s">
        <v>435</v>
      </c>
      <c r="E26" s="7" t="s">
        <v>171</v>
      </c>
      <c r="F26" s="7">
        <v>5</v>
      </c>
      <c r="G26" s="7">
        <v>15</v>
      </c>
      <c r="H26" s="7" t="s">
        <v>133</v>
      </c>
      <c r="I26" s="7" t="s">
        <v>334</v>
      </c>
      <c r="J26" s="7" t="s">
        <v>436</v>
      </c>
      <c r="K26" s="7" t="s">
        <v>313</v>
      </c>
      <c r="L26" s="1"/>
      <c r="M26" s="1"/>
      <c r="N26" s="1"/>
    </row>
    <row r="27" spans="1:14" ht="48" customHeight="1">
      <c r="A27" s="7" t="s">
        <v>437</v>
      </c>
      <c r="B27" s="7" t="s">
        <v>438</v>
      </c>
      <c r="C27" s="7" t="s">
        <v>439</v>
      </c>
      <c r="D27" s="7" t="s">
        <v>440</v>
      </c>
      <c r="E27" s="7" t="s">
        <v>171</v>
      </c>
      <c r="F27" s="7">
        <v>3</v>
      </c>
      <c r="G27" s="7">
        <v>16</v>
      </c>
      <c r="H27" s="7" t="s">
        <v>133</v>
      </c>
      <c r="I27" s="7" t="s">
        <v>334</v>
      </c>
      <c r="J27" s="7" t="s">
        <v>441</v>
      </c>
      <c r="K27" s="7" t="s">
        <v>432</v>
      </c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K1"/>
    <mergeCell ref="A2:K2"/>
  </mergeCells>
  <conditionalFormatting sqref="A4:K27">
    <cfRule type="expression" dxfId="28" priority="1">
      <formula>$H4="Implementado"</formula>
    </cfRule>
    <cfRule type="expression" dxfId="27" priority="2">
      <formula>$H4="En progreso"</formula>
    </cfRule>
    <cfRule type="expression" dxfId="26" priority="3">
      <formula>$H4="Planificado"</formula>
    </cfRule>
    <cfRule type="expression" dxfId="25" priority="4">
      <formula>ISNUMBER(SEARCH("Octalysis", $D4))</formula>
    </cfRule>
  </conditionalFormatting>
  <dataValidations count="2">
    <dataValidation type="list" sqref="H4:H27" xr:uid="{00000000-0002-0000-0300-000000000000}">
      <formula1>"Implementado,Implementado con ajustes,Documentado,Documentado / implementado,Aplicado en diseño,Aplicado en diseño / pendiente de evidencia técnica,En progreso,Planificado / en progreso,Planificado"</formula1>
    </dataValidation>
    <dataValidation type="list" sqref="E4:E27" xr:uid="{00000000-0002-0000-0300-000001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"/>
  <sheetViews>
    <sheetView tabSelected="1" topLeftCell="A36" workbookViewId="0">
      <selection activeCell="D4" sqref="D4"/>
    </sheetView>
  </sheetViews>
  <sheetFormatPr baseColWidth="10" defaultColWidth="9" defaultRowHeight="14.25"/>
  <cols>
    <col min="1" max="1" width="10" customWidth="1"/>
    <col min="2" max="2" width="18" customWidth="1"/>
    <col min="3" max="3" width="20" customWidth="1"/>
    <col min="4" max="4" width="34" customWidth="1"/>
    <col min="5" max="5" width="60" customWidth="1"/>
    <col min="6" max="6" width="68" customWidth="1"/>
    <col min="7" max="7" width="12" customWidth="1"/>
    <col min="8" max="9" width="10" customWidth="1"/>
    <col min="10" max="10" width="20" customWidth="1"/>
    <col min="11" max="11" width="26" customWidth="1"/>
    <col min="12" max="12" width="20" customWidth="1"/>
    <col min="13" max="13" width="45" customWidth="1"/>
    <col min="14" max="14" width="24" customWidth="1"/>
  </cols>
  <sheetData>
    <row r="1" spans="1:14" ht="27.95" customHeight="1">
      <c r="A1" s="14" t="s">
        <v>442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 t="s">
        <v>443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0" customHeight="1">
      <c r="A3" s="6" t="s">
        <v>157</v>
      </c>
      <c r="B3" s="6" t="s">
        <v>444</v>
      </c>
      <c r="C3" s="6" t="s">
        <v>445</v>
      </c>
      <c r="D3" s="6" t="s">
        <v>446</v>
      </c>
      <c r="E3" s="6" t="s">
        <v>447</v>
      </c>
      <c r="F3" s="6" t="s">
        <v>161</v>
      </c>
      <c r="G3" s="6" t="s">
        <v>162</v>
      </c>
      <c r="H3" s="6" t="s">
        <v>66</v>
      </c>
      <c r="I3" s="6" t="s">
        <v>59</v>
      </c>
      <c r="J3" s="6" t="s">
        <v>448</v>
      </c>
      <c r="K3" s="6" t="s">
        <v>67</v>
      </c>
      <c r="L3" s="6" t="s">
        <v>449</v>
      </c>
      <c r="M3" s="6" t="s">
        <v>450</v>
      </c>
      <c r="N3" s="6" t="s">
        <v>165</v>
      </c>
    </row>
    <row r="4" spans="1:14" ht="48" customHeight="1">
      <c r="A4" s="7" t="s">
        <v>318</v>
      </c>
      <c r="B4" s="7" t="s">
        <v>316</v>
      </c>
      <c r="C4" s="7" t="s">
        <v>172</v>
      </c>
      <c r="D4" s="7" t="s">
        <v>319</v>
      </c>
      <c r="E4" s="7" t="s">
        <v>320</v>
      </c>
      <c r="F4" s="7" t="s">
        <v>321</v>
      </c>
      <c r="G4" s="7" t="s">
        <v>171</v>
      </c>
      <c r="H4" s="7">
        <v>5</v>
      </c>
      <c r="I4" s="7">
        <v>1</v>
      </c>
      <c r="J4" s="7" t="s">
        <v>451</v>
      </c>
      <c r="K4" s="7" t="s">
        <v>78</v>
      </c>
      <c r="L4" s="7" t="s">
        <v>172</v>
      </c>
      <c r="M4" s="7" t="s">
        <v>322</v>
      </c>
      <c r="N4" s="7" t="s">
        <v>323</v>
      </c>
    </row>
    <row r="5" spans="1:14" ht="48" customHeight="1">
      <c r="A5" s="7" t="s">
        <v>324</v>
      </c>
      <c r="B5" s="7" t="s">
        <v>316</v>
      </c>
      <c r="C5" s="7" t="s">
        <v>172</v>
      </c>
      <c r="D5" s="7" t="s">
        <v>325</v>
      </c>
      <c r="E5" s="7" t="s">
        <v>326</v>
      </c>
      <c r="F5" s="7" t="s">
        <v>327</v>
      </c>
      <c r="G5" s="7" t="s">
        <v>171</v>
      </c>
      <c r="H5" s="7">
        <v>5</v>
      </c>
      <c r="I5" s="7">
        <v>1</v>
      </c>
      <c r="J5" s="7" t="s">
        <v>451</v>
      </c>
      <c r="K5" s="7" t="s">
        <v>72</v>
      </c>
      <c r="L5" s="7" t="s">
        <v>172</v>
      </c>
      <c r="M5" s="7" t="s">
        <v>328</v>
      </c>
      <c r="N5" s="7" t="s">
        <v>318</v>
      </c>
    </row>
    <row r="6" spans="1:14" ht="48" customHeight="1">
      <c r="A6" s="7" t="s">
        <v>329</v>
      </c>
      <c r="B6" s="7" t="s">
        <v>316</v>
      </c>
      <c r="C6" s="7" t="s">
        <v>334</v>
      </c>
      <c r="D6" s="7" t="s">
        <v>330</v>
      </c>
      <c r="E6" s="7" t="s">
        <v>331</v>
      </c>
      <c r="F6" s="7" t="s">
        <v>332</v>
      </c>
      <c r="G6" s="7" t="s">
        <v>171</v>
      </c>
      <c r="H6" s="7">
        <v>3</v>
      </c>
      <c r="I6" s="7">
        <v>1</v>
      </c>
      <c r="J6" s="7" t="s">
        <v>451</v>
      </c>
      <c r="K6" s="7" t="s">
        <v>333</v>
      </c>
      <c r="L6" s="7" t="s">
        <v>334</v>
      </c>
      <c r="M6" s="7" t="s">
        <v>335</v>
      </c>
      <c r="N6" s="7" t="s">
        <v>324</v>
      </c>
    </row>
    <row r="7" spans="1:14" ht="48" customHeight="1">
      <c r="A7" s="7" t="s">
        <v>174</v>
      </c>
      <c r="B7" s="7" t="s">
        <v>316</v>
      </c>
      <c r="C7" s="7" t="s">
        <v>339</v>
      </c>
      <c r="D7" s="7" t="s">
        <v>336</v>
      </c>
      <c r="E7" s="7" t="s">
        <v>337</v>
      </c>
      <c r="F7" s="7" t="s">
        <v>338</v>
      </c>
      <c r="G7" s="7" t="s">
        <v>171</v>
      </c>
      <c r="H7" s="7">
        <v>8</v>
      </c>
      <c r="I7" s="7">
        <v>1</v>
      </c>
      <c r="J7" s="7" t="s">
        <v>451</v>
      </c>
      <c r="K7" s="7" t="s">
        <v>78</v>
      </c>
      <c r="L7" s="7" t="s">
        <v>339</v>
      </c>
      <c r="M7" s="7" t="s">
        <v>340</v>
      </c>
      <c r="N7" s="7" t="s">
        <v>324</v>
      </c>
    </row>
    <row r="8" spans="1:14" ht="48" customHeight="1">
      <c r="A8" s="7" t="s">
        <v>341</v>
      </c>
      <c r="B8" s="7" t="s">
        <v>316</v>
      </c>
      <c r="C8" s="7" t="s">
        <v>172</v>
      </c>
      <c r="D8" s="7" t="s">
        <v>342</v>
      </c>
      <c r="E8" s="7" t="s">
        <v>343</v>
      </c>
      <c r="F8" s="7" t="s">
        <v>344</v>
      </c>
      <c r="G8" s="7" t="s">
        <v>171</v>
      </c>
      <c r="H8" s="7">
        <v>8</v>
      </c>
      <c r="I8" s="7">
        <v>2</v>
      </c>
      <c r="J8" s="7" t="s">
        <v>452</v>
      </c>
      <c r="K8" s="7" t="s">
        <v>78</v>
      </c>
      <c r="L8" s="7" t="s">
        <v>172</v>
      </c>
      <c r="M8" s="7" t="s">
        <v>345</v>
      </c>
      <c r="N8" s="7" t="s">
        <v>174</v>
      </c>
    </row>
    <row r="9" spans="1:14" ht="48" customHeight="1">
      <c r="A9" s="7" t="s">
        <v>166</v>
      </c>
      <c r="B9" s="7" t="s">
        <v>160</v>
      </c>
      <c r="C9" s="7" t="s">
        <v>172</v>
      </c>
      <c r="D9" s="7" t="s">
        <v>167</v>
      </c>
      <c r="E9" s="7" t="s">
        <v>169</v>
      </c>
      <c r="F9" s="7" t="s">
        <v>170</v>
      </c>
      <c r="G9" s="7" t="s">
        <v>171</v>
      </c>
      <c r="H9" s="7">
        <v>8</v>
      </c>
      <c r="I9" s="7">
        <v>2</v>
      </c>
      <c r="J9" s="7" t="s">
        <v>452</v>
      </c>
      <c r="K9" s="7" t="s">
        <v>78</v>
      </c>
      <c r="L9" s="7" t="s">
        <v>172</v>
      </c>
      <c r="M9" s="7" t="s">
        <v>173</v>
      </c>
      <c r="N9" s="7" t="s">
        <v>174</v>
      </c>
    </row>
    <row r="10" spans="1:14" ht="48" customHeight="1">
      <c r="A10" s="7" t="s">
        <v>175</v>
      </c>
      <c r="B10" s="7" t="s">
        <v>160</v>
      </c>
      <c r="C10" s="7" t="s">
        <v>172</v>
      </c>
      <c r="D10" s="7" t="s">
        <v>176</v>
      </c>
      <c r="E10" s="7" t="s">
        <v>178</v>
      </c>
      <c r="F10" s="7" t="s">
        <v>179</v>
      </c>
      <c r="G10" s="7" t="s">
        <v>171</v>
      </c>
      <c r="H10" s="7">
        <v>10</v>
      </c>
      <c r="I10" s="7">
        <v>2</v>
      </c>
      <c r="J10" s="7" t="s">
        <v>452</v>
      </c>
      <c r="K10" s="7" t="s">
        <v>78</v>
      </c>
      <c r="L10" s="7" t="s">
        <v>172</v>
      </c>
      <c r="M10" s="7" t="s">
        <v>180</v>
      </c>
      <c r="N10" s="7" t="s">
        <v>166</v>
      </c>
    </row>
    <row r="11" spans="1:14" ht="48" customHeight="1">
      <c r="A11" s="7" t="s">
        <v>346</v>
      </c>
      <c r="B11" s="7" t="s">
        <v>316</v>
      </c>
      <c r="C11" s="7" t="s">
        <v>172</v>
      </c>
      <c r="D11" s="7" t="s">
        <v>347</v>
      </c>
      <c r="E11" s="7" t="s">
        <v>348</v>
      </c>
      <c r="F11" s="7" t="s">
        <v>349</v>
      </c>
      <c r="G11" s="7" t="s">
        <v>171</v>
      </c>
      <c r="H11" s="7">
        <v>8</v>
      </c>
      <c r="I11" s="7">
        <v>3</v>
      </c>
      <c r="J11" s="7" t="s">
        <v>453</v>
      </c>
      <c r="K11" s="7" t="s">
        <v>78</v>
      </c>
      <c r="L11" s="7" t="s">
        <v>172</v>
      </c>
      <c r="M11" s="7" t="s">
        <v>350</v>
      </c>
      <c r="N11" s="7" t="s">
        <v>174</v>
      </c>
    </row>
    <row r="12" spans="1:14" ht="48" customHeight="1">
      <c r="A12" s="7" t="s">
        <v>181</v>
      </c>
      <c r="B12" s="7" t="s">
        <v>160</v>
      </c>
      <c r="C12" s="7" t="s">
        <v>172</v>
      </c>
      <c r="D12" s="7" t="s">
        <v>182</v>
      </c>
      <c r="E12" s="7" t="s">
        <v>184</v>
      </c>
      <c r="F12" s="7" t="s">
        <v>185</v>
      </c>
      <c r="G12" s="7" t="s">
        <v>171</v>
      </c>
      <c r="H12" s="7">
        <v>8</v>
      </c>
      <c r="I12" s="7">
        <v>3</v>
      </c>
      <c r="J12" s="7" t="s">
        <v>453</v>
      </c>
      <c r="K12" s="7" t="s">
        <v>78</v>
      </c>
      <c r="L12" s="7" t="s">
        <v>172</v>
      </c>
      <c r="M12" s="7" t="s">
        <v>186</v>
      </c>
      <c r="N12" s="7" t="s">
        <v>166</v>
      </c>
    </row>
    <row r="13" spans="1:14" ht="48" customHeight="1">
      <c r="A13" s="7" t="s">
        <v>187</v>
      </c>
      <c r="B13" s="7" t="s">
        <v>160</v>
      </c>
      <c r="C13" s="7" t="s">
        <v>172</v>
      </c>
      <c r="D13" s="7" t="s">
        <v>188</v>
      </c>
      <c r="E13" s="7" t="s">
        <v>190</v>
      </c>
      <c r="F13" s="7" t="s">
        <v>191</v>
      </c>
      <c r="G13" s="7" t="s">
        <v>171</v>
      </c>
      <c r="H13" s="7">
        <v>8</v>
      </c>
      <c r="I13" s="7">
        <v>3</v>
      </c>
      <c r="J13" s="7" t="s">
        <v>453</v>
      </c>
      <c r="K13" s="7" t="s">
        <v>78</v>
      </c>
      <c r="L13" s="7" t="s">
        <v>172</v>
      </c>
      <c r="M13" s="7" t="s">
        <v>192</v>
      </c>
      <c r="N13" s="7" t="s">
        <v>181</v>
      </c>
    </row>
    <row r="14" spans="1:14" ht="48" customHeight="1">
      <c r="A14" s="7" t="s">
        <v>351</v>
      </c>
      <c r="B14" s="7" t="s">
        <v>316</v>
      </c>
      <c r="C14" s="7" t="s">
        <v>172</v>
      </c>
      <c r="D14" s="7" t="s">
        <v>352</v>
      </c>
      <c r="E14" s="7" t="s">
        <v>353</v>
      </c>
      <c r="F14" s="7" t="s">
        <v>354</v>
      </c>
      <c r="G14" s="7" t="s">
        <v>171</v>
      </c>
      <c r="H14" s="7">
        <v>8</v>
      </c>
      <c r="I14" s="7">
        <v>4</v>
      </c>
      <c r="J14" s="7" t="s">
        <v>454</v>
      </c>
      <c r="K14" s="7" t="s">
        <v>78</v>
      </c>
      <c r="L14" s="7" t="s">
        <v>172</v>
      </c>
      <c r="M14" s="7" t="s">
        <v>355</v>
      </c>
      <c r="N14" s="7" t="s">
        <v>346</v>
      </c>
    </row>
    <row r="15" spans="1:14" ht="48" customHeight="1">
      <c r="A15" s="7" t="s">
        <v>193</v>
      </c>
      <c r="B15" s="7" t="s">
        <v>160</v>
      </c>
      <c r="C15" s="7" t="s">
        <v>172</v>
      </c>
      <c r="D15" s="7" t="s">
        <v>194</v>
      </c>
      <c r="E15" s="7" t="s">
        <v>195</v>
      </c>
      <c r="F15" s="7" t="s">
        <v>196</v>
      </c>
      <c r="G15" s="7" t="s">
        <v>171</v>
      </c>
      <c r="H15" s="7">
        <v>8</v>
      </c>
      <c r="I15" s="7">
        <v>4</v>
      </c>
      <c r="J15" s="7" t="s">
        <v>454</v>
      </c>
      <c r="K15" s="7" t="s">
        <v>78</v>
      </c>
      <c r="L15" s="7" t="s">
        <v>172</v>
      </c>
      <c r="M15" s="7" t="s">
        <v>197</v>
      </c>
      <c r="N15" s="7" t="s">
        <v>187</v>
      </c>
    </row>
    <row r="16" spans="1:14" ht="48" customHeight="1">
      <c r="A16" s="7" t="s">
        <v>198</v>
      </c>
      <c r="B16" s="7" t="s">
        <v>160</v>
      </c>
      <c r="C16" s="7" t="s">
        <v>172</v>
      </c>
      <c r="D16" s="7" t="s">
        <v>199</v>
      </c>
      <c r="E16" s="7" t="s">
        <v>201</v>
      </c>
      <c r="F16" s="7" t="s">
        <v>202</v>
      </c>
      <c r="G16" s="7" t="s">
        <v>171</v>
      </c>
      <c r="H16" s="7">
        <v>13</v>
      </c>
      <c r="I16" s="7">
        <v>4</v>
      </c>
      <c r="J16" s="7" t="s">
        <v>454</v>
      </c>
      <c r="K16" s="7" t="s">
        <v>78</v>
      </c>
      <c r="L16" s="7" t="s">
        <v>172</v>
      </c>
      <c r="M16" s="7" t="s">
        <v>203</v>
      </c>
      <c r="N16" s="7" t="s">
        <v>204</v>
      </c>
    </row>
    <row r="17" spans="1:14" ht="48" customHeight="1">
      <c r="A17" s="7" t="s">
        <v>356</v>
      </c>
      <c r="B17" s="7" t="s">
        <v>316</v>
      </c>
      <c r="C17" s="7" t="s">
        <v>172</v>
      </c>
      <c r="D17" s="7" t="s">
        <v>357</v>
      </c>
      <c r="E17" s="7" t="s">
        <v>358</v>
      </c>
      <c r="F17" s="7" t="s">
        <v>359</v>
      </c>
      <c r="G17" s="7" t="s">
        <v>171</v>
      </c>
      <c r="H17" s="7">
        <v>8</v>
      </c>
      <c r="I17" s="7">
        <v>5</v>
      </c>
      <c r="J17" s="7" t="s">
        <v>455</v>
      </c>
      <c r="K17" s="7" t="s">
        <v>78</v>
      </c>
      <c r="L17" s="7" t="s">
        <v>172</v>
      </c>
      <c r="M17" s="7" t="s">
        <v>360</v>
      </c>
      <c r="N17" s="7" t="s">
        <v>346</v>
      </c>
    </row>
    <row r="18" spans="1:14" ht="48" customHeight="1">
      <c r="A18" s="7" t="s">
        <v>205</v>
      </c>
      <c r="B18" s="7" t="s">
        <v>160</v>
      </c>
      <c r="C18" s="7" t="s">
        <v>172</v>
      </c>
      <c r="D18" s="7" t="s">
        <v>206</v>
      </c>
      <c r="E18" s="7" t="s">
        <v>207</v>
      </c>
      <c r="F18" s="7" t="s">
        <v>208</v>
      </c>
      <c r="G18" s="7" t="s">
        <v>171</v>
      </c>
      <c r="H18" s="7">
        <v>13</v>
      </c>
      <c r="I18" s="7">
        <v>5</v>
      </c>
      <c r="J18" s="7" t="s">
        <v>455</v>
      </c>
      <c r="K18" s="7" t="s">
        <v>78</v>
      </c>
      <c r="L18" s="7" t="s">
        <v>172</v>
      </c>
      <c r="M18" s="7" t="s">
        <v>209</v>
      </c>
      <c r="N18" s="7" t="s">
        <v>187</v>
      </c>
    </row>
    <row r="19" spans="1:14" ht="48" customHeight="1">
      <c r="A19" s="7" t="s">
        <v>210</v>
      </c>
      <c r="B19" s="7" t="s">
        <v>160</v>
      </c>
      <c r="C19" s="7" t="s">
        <v>172</v>
      </c>
      <c r="D19" s="7" t="s">
        <v>211</v>
      </c>
      <c r="E19" s="7" t="s">
        <v>212</v>
      </c>
      <c r="F19" s="7" t="s">
        <v>213</v>
      </c>
      <c r="G19" s="7" t="s">
        <v>171</v>
      </c>
      <c r="H19" s="7">
        <v>8</v>
      </c>
      <c r="I19" s="7">
        <v>5</v>
      </c>
      <c r="J19" s="7" t="s">
        <v>455</v>
      </c>
      <c r="K19" s="7" t="s">
        <v>78</v>
      </c>
      <c r="L19" s="7" t="s">
        <v>172</v>
      </c>
      <c r="M19" s="7" t="s">
        <v>214</v>
      </c>
      <c r="N19" s="7" t="s">
        <v>205</v>
      </c>
    </row>
    <row r="20" spans="1:14" ht="48" customHeight="1">
      <c r="A20" s="7" t="s">
        <v>361</v>
      </c>
      <c r="B20" s="7" t="s">
        <v>316</v>
      </c>
      <c r="C20" s="7" t="s">
        <v>172</v>
      </c>
      <c r="D20" s="7" t="s">
        <v>362</v>
      </c>
      <c r="E20" s="7" t="s">
        <v>363</v>
      </c>
      <c r="F20" s="7" t="s">
        <v>364</v>
      </c>
      <c r="G20" s="7" t="s">
        <v>171</v>
      </c>
      <c r="H20" s="7">
        <v>8</v>
      </c>
      <c r="I20" s="7">
        <v>6</v>
      </c>
      <c r="J20" s="7" t="s">
        <v>456</v>
      </c>
      <c r="K20" s="7" t="s">
        <v>78</v>
      </c>
      <c r="L20" s="7" t="s">
        <v>172</v>
      </c>
      <c r="M20" s="7" t="s">
        <v>365</v>
      </c>
      <c r="N20" s="7" t="s">
        <v>346</v>
      </c>
    </row>
    <row r="21" spans="1:14" ht="48" customHeight="1">
      <c r="A21" s="7" t="s">
        <v>215</v>
      </c>
      <c r="B21" s="7" t="s">
        <v>160</v>
      </c>
      <c r="C21" s="7" t="s">
        <v>172</v>
      </c>
      <c r="D21" s="7" t="s">
        <v>216</v>
      </c>
      <c r="E21" s="7" t="s">
        <v>217</v>
      </c>
      <c r="F21" s="7" t="s">
        <v>218</v>
      </c>
      <c r="G21" s="7" t="s">
        <v>171</v>
      </c>
      <c r="H21" s="7">
        <v>13</v>
      </c>
      <c r="I21" s="7">
        <v>6</v>
      </c>
      <c r="J21" s="7" t="s">
        <v>456</v>
      </c>
      <c r="K21" s="7" t="s">
        <v>78</v>
      </c>
      <c r="L21" s="7" t="s">
        <v>172</v>
      </c>
      <c r="M21" s="7" t="s">
        <v>219</v>
      </c>
      <c r="N21" s="7" t="s">
        <v>187</v>
      </c>
    </row>
    <row r="22" spans="1:14" ht="48" customHeight="1">
      <c r="A22" s="7" t="s">
        <v>220</v>
      </c>
      <c r="B22" s="7" t="s">
        <v>160</v>
      </c>
      <c r="C22" s="7" t="s">
        <v>172</v>
      </c>
      <c r="D22" s="7" t="s">
        <v>221</v>
      </c>
      <c r="E22" s="7" t="s">
        <v>223</v>
      </c>
      <c r="F22" s="7" t="s">
        <v>224</v>
      </c>
      <c r="G22" s="7" t="s">
        <v>225</v>
      </c>
      <c r="H22" s="7">
        <v>8</v>
      </c>
      <c r="I22" s="7">
        <v>6</v>
      </c>
      <c r="J22" s="7" t="s">
        <v>456</v>
      </c>
      <c r="K22" s="7" t="s">
        <v>109</v>
      </c>
      <c r="L22" s="7" t="s">
        <v>172</v>
      </c>
      <c r="M22" s="7" t="s">
        <v>226</v>
      </c>
      <c r="N22" s="7" t="s">
        <v>215</v>
      </c>
    </row>
    <row r="23" spans="1:14" ht="48" customHeight="1">
      <c r="A23" s="7" t="s">
        <v>366</v>
      </c>
      <c r="B23" s="7" t="s">
        <v>316</v>
      </c>
      <c r="C23" s="7" t="s">
        <v>172</v>
      </c>
      <c r="D23" s="7" t="s">
        <v>367</v>
      </c>
      <c r="E23" s="7" t="s">
        <v>368</v>
      </c>
      <c r="F23" s="7" t="s">
        <v>369</v>
      </c>
      <c r="G23" s="7" t="s">
        <v>171</v>
      </c>
      <c r="H23" s="7">
        <v>5</v>
      </c>
      <c r="I23" s="7">
        <v>7</v>
      </c>
      <c r="J23" s="7" t="s">
        <v>457</v>
      </c>
      <c r="K23" s="7" t="s">
        <v>78</v>
      </c>
      <c r="L23" s="7" t="s">
        <v>172</v>
      </c>
      <c r="M23" s="7" t="s">
        <v>370</v>
      </c>
      <c r="N23" s="7" t="s">
        <v>346</v>
      </c>
    </row>
    <row r="24" spans="1:14" ht="48" customHeight="1">
      <c r="A24" s="7" t="s">
        <v>227</v>
      </c>
      <c r="B24" s="7" t="s">
        <v>160</v>
      </c>
      <c r="C24" s="7" t="s">
        <v>172</v>
      </c>
      <c r="D24" s="7" t="s">
        <v>228</v>
      </c>
      <c r="E24" s="7" t="s">
        <v>229</v>
      </c>
      <c r="F24" s="7" t="s">
        <v>230</v>
      </c>
      <c r="G24" s="7" t="s">
        <v>171</v>
      </c>
      <c r="H24" s="7">
        <v>8</v>
      </c>
      <c r="I24" s="7">
        <v>7</v>
      </c>
      <c r="J24" s="7" t="s">
        <v>457</v>
      </c>
      <c r="K24" s="7" t="s">
        <v>78</v>
      </c>
      <c r="L24" s="7" t="s">
        <v>172</v>
      </c>
      <c r="M24" s="7" t="s">
        <v>231</v>
      </c>
      <c r="N24" s="7" t="s">
        <v>175</v>
      </c>
    </row>
    <row r="25" spans="1:14" ht="48" customHeight="1">
      <c r="A25" s="7" t="s">
        <v>232</v>
      </c>
      <c r="B25" s="7" t="s">
        <v>160</v>
      </c>
      <c r="C25" s="7" t="s">
        <v>172</v>
      </c>
      <c r="D25" s="7" t="s">
        <v>233</v>
      </c>
      <c r="E25" s="7" t="s">
        <v>234</v>
      </c>
      <c r="F25" s="7" t="s">
        <v>235</v>
      </c>
      <c r="G25" s="7" t="s">
        <v>225</v>
      </c>
      <c r="H25" s="7">
        <v>5</v>
      </c>
      <c r="I25" s="7">
        <v>7</v>
      </c>
      <c r="J25" s="7" t="s">
        <v>457</v>
      </c>
      <c r="K25" s="7" t="s">
        <v>78</v>
      </c>
      <c r="L25" s="7" t="s">
        <v>172</v>
      </c>
      <c r="M25" s="7" t="s">
        <v>236</v>
      </c>
      <c r="N25" s="7" t="s">
        <v>227</v>
      </c>
    </row>
    <row r="26" spans="1:14" ht="48" customHeight="1">
      <c r="A26" s="7" t="s">
        <v>371</v>
      </c>
      <c r="B26" s="7" t="s">
        <v>316</v>
      </c>
      <c r="C26" s="7" t="s">
        <v>172</v>
      </c>
      <c r="D26" s="7" t="s">
        <v>372</v>
      </c>
      <c r="E26" s="7" t="s">
        <v>373</v>
      </c>
      <c r="F26" s="7" t="s">
        <v>374</v>
      </c>
      <c r="G26" s="7" t="s">
        <v>171</v>
      </c>
      <c r="H26" s="7">
        <v>5</v>
      </c>
      <c r="I26" s="7">
        <v>8</v>
      </c>
      <c r="J26" s="7" t="s">
        <v>458</v>
      </c>
      <c r="K26" s="7" t="s">
        <v>78</v>
      </c>
      <c r="L26" s="7" t="s">
        <v>172</v>
      </c>
      <c r="M26" s="7" t="s">
        <v>375</v>
      </c>
      <c r="N26" s="7" t="s">
        <v>376</v>
      </c>
    </row>
    <row r="27" spans="1:14" ht="48" customHeight="1">
      <c r="A27" s="7" t="s">
        <v>237</v>
      </c>
      <c r="B27" s="7" t="s">
        <v>160</v>
      </c>
      <c r="C27" s="7" t="s">
        <v>172</v>
      </c>
      <c r="D27" s="7" t="s">
        <v>238</v>
      </c>
      <c r="E27" s="7" t="s">
        <v>240</v>
      </c>
      <c r="F27" s="7" t="s">
        <v>241</v>
      </c>
      <c r="G27" s="7" t="s">
        <v>171</v>
      </c>
      <c r="H27" s="7">
        <v>8</v>
      </c>
      <c r="I27" s="7">
        <v>8</v>
      </c>
      <c r="J27" s="7" t="s">
        <v>458</v>
      </c>
      <c r="K27" s="7" t="s">
        <v>78</v>
      </c>
      <c r="L27" s="7" t="s">
        <v>172</v>
      </c>
      <c r="M27" s="7" t="s">
        <v>242</v>
      </c>
      <c r="N27" s="7" t="s">
        <v>243</v>
      </c>
    </row>
    <row r="28" spans="1:14" ht="48" customHeight="1">
      <c r="A28" s="7" t="s">
        <v>377</v>
      </c>
      <c r="B28" s="7" t="s">
        <v>316</v>
      </c>
      <c r="C28" s="7" t="s">
        <v>172</v>
      </c>
      <c r="D28" s="7" t="s">
        <v>378</v>
      </c>
      <c r="E28" s="7" t="s">
        <v>379</v>
      </c>
      <c r="F28" s="7" t="s">
        <v>380</v>
      </c>
      <c r="G28" s="7" t="s">
        <v>225</v>
      </c>
      <c r="H28" s="7">
        <v>8</v>
      </c>
      <c r="I28" s="7">
        <v>8</v>
      </c>
      <c r="J28" s="7" t="s">
        <v>458</v>
      </c>
      <c r="K28" s="7" t="s">
        <v>109</v>
      </c>
      <c r="L28" s="7" t="s">
        <v>172</v>
      </c>
      <c r="M28" s="7" t="s">
        <v>381</v>
      </c>
      <c r="N28" s="7" t="s">
        <v>244</v>
      </c>
    </row>
    <row r="29" spans="1:14" ht="48" customHeight="1">
      <c r="A29" s="7" t="s">
        <v>244</v>
      </c>
      <c r="B29" s="7" t="s">
        <v>160</v>
      </c>
      <c r="C29" s="7" t="s">
        <v>172</v>
      </c>
      <c r="D29" s="7" t="s">
        <v>245</v>
      </c>
      <c r="E29" s="7" t="s">
        <v>246</v>
      </c>
      <c r="F29" s="7" t="s">
        <v>247</v>
      </c>
      <c r="G29" s="7" t="s">
        <v>225</v>
      </c>
      <c r="H29" s="7">
        <v>8</v>
      </c>
      <c r="I29" s="7">
        <v>8</v>
      </c>
      <c r="J29" s="7" t="s">
        <v>458</v>
      </c>
      <c r="K29" s="7" t="s">
        <v>109</v>
      </c>
      <c r="L29" s="7" t="s">
        <v>172</v>
      </c>
      <c r="M29" s="7" t="s">
        <v>248</v>
      </c>
      <c r="N29" s="7" t="s">
        <v>249</v>
      </c>
    </row>
    <row r="30" spans="1:14" ht="48" customHeight="1">
      <c r="A30" s="7" t="s">
        <v>382</v>
      </c>
      <c r="B30" s="7" t="s">
        <v>316</v>
      </c>
      <c r="C30" s="7" t="s">
        <v>256</v>
      </c>
      <c r="D30" s="7" t="s">
        <v>383</v>
      </c>
      <c r="E30" s="7" t="s">
        <v>384</v>
      </c>
      <c r="F30" s="7" t="s">
        <v>385</v>
      </c>
      <c r="G30" s="7" t="s">
        <v>225</v>
      </c>
      <c r="H30" s="7">
        <v>8</v>
      </c>
      <c r="I30" s="7">
        <v>9</v>
      </c>
      <c r="J30" s="7" t="s">
        <v>459</v>
      </c>
      <c r="K30" s="7" t="s">
        <v>255</v>
      </c>
      <c r="L30" s="7" t="s">
        <v>256</v>
      </c>
      <c r="M30" s="7" t="s">
        <v>386</v>
      </c>
      <c r="N30" s="7" t="s">
        <v>387</v>
      </c>
    </row>
    <row r="31" spans="1:14" ht="48" customHeight="1">
      <c r="A31" s="7" t="s">
        <v>250</v>
      </c>
      <c r="B31" s="7" t="s">
        <v>160</v>
      </c>
      <c r="C31" s="7" t="s">
        <v>256</v>
      </c>
      <c r="D31" s="7" t="s">
        <v>251</v>
      </c>
      <c r="E31" s="7" t="s">
        <v>253</v>
      </c>
      <c r="F31" s="7" t="s">
        <v>254</v>
      </c>
      <c r="G31" s="7" t="s">
        <v>225</v>
      </c>
      <c r="H31" s="7">
        <v>8</v>
      </c>
      <c r="I31" s="7">
        <v>9</v>
      </c>
      <c r="J31" s="7" t="s">
        <v>459</v>
      </c>
      <c r="K31" s="7" t="s">
        <v>255</v>
      </c>
      <c r="L31" s="7" t="s">
        <v>256</v>
      </c>
      <c r="M31" s="7" t="s">
        <v>257</v>
      </c>
      <c r="N31" s="7" t="s">
        <v>258</v>
      </c>
    </row>
    <row r="32" spans="1:14" ht="48" customHeight="1">
      <c r="A32" s="7" t="s">
        <v>259</v>
      </c>
      <c r="B32" s="7" t="s">
        <v>160</v>
      </c>
      <c r="C32" s="7" t="s">
        <v>256</v>
      </c>
      <c r="D32" s="7" t="s">
        <v>260</v>
      </c>
      <c r="E32" s="7" t="s">
        <v>262</v>
      </c>
      <c r="F32" s="7" t="s">
        <v>263</v>
      </c>
      <c r="G32" s="7" t="s">
        <v>225</v>
      </c>
      <c r="H32" s="7">
        <v>8</v>
      </c>
      <c r="I32" s="7">
        <v>9</v>
      </c>
      <c r="J32" s="7" t="s">
        <v>459</v>
      </c>
      <c r="K32" s="7" t="s">
        <v>255</v>
      </c>
      <c r="L32" s="7" t="s">
        <v>256</v>
      </c>
      <c r="M32" s="7" t="s">
        <v>257</v>
      </c>
      <c r="N32" s="7" t="s">
        <v>250</v>
      </c>
    </row>
    <row r="33" spans="1:14" ht="48" customHeight="1">
      <c r="A33" s="7" t="s">
        <v>388</v>
      </c>
      <c r="B33" s="7" t="s">
        <v>316</v>
      </c>
      <c r="C33" s="7" t="s">
        <v>269</v>
      </c>
      <c r="D33" s="7" t="s">
        <v>389</v>
      </c>
      <c r="E33" s="7" t="s">
        <v>390</v>
      </c>
      <c r="F33" s="7" t="s">
        <v>391</v>
      </c>
      <c r="G33" s="7" t="s">
        <v>171</v>
      </c>
      <c r="H33" s="7">
        <v>5</v>
      </c>
      <c r="I33" s="7">
        <v>10</v>
      </c>
      <c r="J33" s="7" t="s">
        <v>460</v>
      </c>
      <c r="K33" s="7" t="s">
        <v>121</v>
      </c>
      <c r="L33" s="7" t="s">
        <v>269</v>
      </c>
      <c r="M33" s="7" t="s">
        <v>392</v>
      </c>
      <c r="N33" s="7" t="s">
        <v>174</v>
      </c>
    </row>
    <row r="34" spans="1:14" ht="48" customHeight="1">
      <c r="A34" s="7" t="s">
        <v>393</v>
      </c>
      <c r="B34" s="7" t="s">
        <v>316</v>
      </c>
      <c r="C34" s="7" t="s">
        <v>269</v>
      </c>
      <c r="D34" s="7" t="s">
        <v>394</v>
      </c>
      <c r="E34" s="7" t="s">
        <v>395</v>
      </c>
      <c r="F34" s="7" t="s">
        <v>396</v>
      </c>
      <c r="G34" s="7" t="s">
        <v>171</v>
      </c>
      <c r="H34" s="7">
        <v>5</v>
      </c>
      <c r="I34" s="7">
        <v>10</v>
      </c>
      <c r="J34" s="7" t="s">
        <v>460</v>
      </c>
      <c r="K34" s="7" t="s">
        <v>121</v>
      </c>
      <c r="L34" s="7" t="s">
        <v>269</v>
      </c>
      <c r="M34" s="7" t="s">
        <v>397</v>
      </c>
      <c r="N34" s="7" t="s">
        <v>388</v>
      </c>
    </row>
    <row r="35" spans="1:14" ht="48" customHeight="1">
      <c r="A35" s="7" t="s">
        <v>398</v>
      </c>
      <c r="B35" s="7" t="s">
        <v>316</v>
      </c>
      <c r="C35" s="7" t="s">
        <v>269</v>
      </c>
      <c r="D35" s="7" t="s">
        <v>399</v>
      </c>
      <c r="E35" s="7" t="s">
        <v>400</v>
      </c>
      <c r="F35" s="7" t="s">
        <v>401</v>
      </c>
      <c r="G35" s="7" t="s">
        <v>171</v>
      </c>
      <c r="H35" s="7">
        <v>5</v>
      </c>
      <c r="I35" s="7">
        <v>10</v>
      </c>
      <c r="J35" s="7" t="s">
        <v>460</v>
      </c>
      <c r="K35" s="7" t="s">
        <v>121</v>
      </c>
      <c r="L35" s="7" t="s">
        <v>269</v>
      </c>
      <c r="M35" s="7" t="s">
        <v>402</v>
      </c>
      <c r="N35" s="7" t="s">
        <v>388</v>
      </c>
    </row>
    <row r="36" spans="1:14" ht="48" customHeight="1">
      <c r="A36" s="7" t="s">
        <v>264</v>
      </c>
      <c r="B36" s="7" t="s">
        <v>160</v>
      </c>
      <c r="C36" s="7" t="s">
        <v>269</v>
      </c>
      <c r="D36" s="7" t="s">
        <v>265</v>
      </c>
      <c r="E36" s="7" t="s">
        <v>267</v>
      </c>
      <c r="F36" s="7" t="s">
        <v>268</v>
      </c>
      <c r="G36" s="7" t="s">
        <v>171</v>
      </c>
      <c r="H36" s="7">
        <v>8</v>
      </c>
      <c r="I36" s="7">
        <v>10</v>
      </c>
      <c r="J36" s="7" t="s">
        <v>460</v>
      </c>
      <c r="K36" s="7" t="s">
        <v>121</v>
      </c>
      <c r="L36" s="7" t="s">
        <v>269</v>
      </c>
      <c r="M36" s="7" t="s">
        <v>270</v>
      </c>
      <c r="N36" s="7" t="s">
        <v>166</v>
      </c>
    </row>
    <row r="37" spans="1:14" ht="48" customHeight="1">
      <c r="A37" s="7" t="s">
        <v>271</v>
      </c>
      <c r="B37" s="7" t="s">
        <v>160</v>
      </c>
      <c r="C37" s="7" t="s">
        <v>269</v>
      </c>
      <c r="D37" s="7" t="s">
        <v>272</v>
      </c>
      <c r="E37" s="7" t="s">
        <v>274</v>
      </c>
      <c r="F37" s="7" t="s">
        <v>275</v>
      </c>
      <c r="G37" s="7" t="s">
        <v>171</v>
      </c>
      <c r="H37" s="7">
        <v>5</v>
      </c>
      <c r="I37" s="7">
        <v>11</v>
      </c>
      <c r="J37" s="7" t="s">
        <v>461</v>
      </c>
      <c r="K37" s="7" t="s">
        <v>127</v>
      </c>
      <c r="L37" s="7" t="s">
        <v>269</v>
      </c>
      <c r="M37" s="7" t="s">
        <v>276</v>
      </c>
      <c r="N37" s="7" t="s">
        <v>264</v>
      </c>
    </row>
    <row r="38" spans="1:14" ht="48" customHeight="1">
      <c r="A38" s="7" t="s">
        <v>403</v>
      </c>
      <c r="B38" s="7" t="s">
        <v>316</v>
      </c>
      <c r="C38" s="7" t="s">
        <v>269</v>
      </c>
      <c r="D38" s="7" t="s">
        <v>404</v>
      </c>
      <c r="E38" s="7" t="s">
        <v>405</v>
      </c>
      <c r="F38" s="7" t="s">
        <v>406</v>
      </c>
      <c r="G38" s="7" t="s">
        <v>225</v>
      </c>
      <c r="H38" s="7">
        <v>8</v>
      </c>
      <c r="I38" s="7">
        <v>11</v>
      </c>
      <c r="J38" s="7" t="s">
        <v>461</v>
      </c>
      <c r="K38" s="7" t="s">
        <v>127</v>
      </c>
      <c r="L38" s="7" t="s">
        <v>269</v>
      </c>
      <c r="M38" s="7" t="s">
        <v>276</v>
      </c>
      <c r="N38" s="7" t="s">
        <v>393</v>
      </c>
    </row>
    <row r="39" spans="1:14" ht="48" customHeight="1">
      <c r="A39" s="7" t="s">
        <v>277</v>
      </c>
      <c r="B39" s="7" t="s">
        <v>160</v>
      </c>
      <c r="C39" s="7" t="s">
        <v>269</v>
      </c>
      <c r="D39" s="7" t="s">
        <v>278</v>
      </c>
      <c r="E39" s="7" t="s">
        <v>279</v>
      </c>
      <c r="F39" s="7" t="s">
        <v>280</v>
      </c>
      <c r="G39" s="7" t="s">
        <v>225</v>
      </c>
      <c r="H39" s="7">
        <v>8</v>
      </c>
      <c r="I39" s="7">
        <v>11</v>
      </c>
      <c r="J39" s="7" t="s">
        <v>461</v>
      </c>
      <c r="K39" s="7" t="s">
        <v>127</v>
      </c>
      <c r="L39" s="7" t="s">
        <v>269</v>
      </c>
      <c r="M39" s="7" t="s">
        <v>276</v>
      </c>
      <c r="N39" s="7" t="s">
        <v>281</v>
      </c>
    </row>
    <row r="40" spans="1:14" ht="48" customHeight="1">
      <c r="A40" s="7" t="s">
        <v>407</v>
      </c>
      <c r="B40" s="7" t="s">
        <v>316</v>
      </c>
      <c r="C40" s="7" t="s">
        <v>269</v>
      </c>
      <c r="D40" s="7" t="s">
        <v>408</v>
      </c>
      <c r="E40" s="7" t="s">
        <v>409</v>
      </c>
      <c r="F40" s="7" t="s">
        <v>410</v>
      </c>
      <c r="G40" s="7" t="s">
        <v>225</v>
      </c>
      <c r="H40" s="7">
        <v>8</v>
      </c>
      <c r="I40" s="7">
        <v>12</v>
      </c>
      <c r="J40" s="7" t="s">
        <v>462</v>
      </c>
      <c r="K40" s="7" t="s">
        <v>133</v>
      </c>
      <c r="L40" s="7" t="s">
        <v>269</v>
      </c>
      <c r="M40" s="7" t="s">
        <v>411</v>
      </c>
      <c r="N40" s="7" t="s">
        <v>412</v>
      </c>
    </row>
    <row r="41" spans="1:14" ht="48" customHeight="1">
      <c r="A41" s="7" t="s">
        <v>282</v>
      </c>
      <c r="B41" s="7" t="s">
        <v>160</v>
      </c>
      <c r="C41" s="7" t="s">
        <v>269</v>
      </c>
      <c r="D41" s="7" t="s">
        <v>283</v>
      </c>
      <c r="E41" s="7" t="s">
        <v>284</v>
      </c>
      <c r="F41" s="7" t="s">
        <v>285</v>
      </c>
      <c r="G41" s="7" t="s">
        <v>225</v>
      </c>
      <c r="H41" s="7">
        <v>8</v>
      </c>
      <c r="I41" s="7">
        <v>12</v>
      </c>
      <c r="J41" s="7" t="s">
        <v>462</v>
      </c>
      <c r="K41" s="7" t="s">
        <v>133</v>
      </c>
      <c r="L41" s="7" t="s">
        <v>269</v>
      </c>
      <c r="M41" s="7" t="s">
        <v>286</v>
      </c>
      <c r="N41" s="7" t="s">
        <v>287</v>
      </c>
    </row>
    <row r="42" spans="1:14" ht="48" customHeight="1">
      <c r="A42" s="7" t="s">
        <v>288</v>
      </c>
      <c r="B42" s="7" t="s">
        <v>160</v>
      </c>
      <c r="C42" s="7" t="s">
        <v>269</v>
      </c>
      <c r="D42" s="7" t="s">
        <v>289</v>
      </c>
      <c r="E42" s="7" t="s">
        <v>290</v>
      </c>
      <c r="F42" s="7" t="s">
        <v>291</v>
      </c>
      <c r="G42" s="7" t="s">
        <v>225</v>
      </c>
      <c r="H42" s="7">
        <v>8</v>
      </c>
      <c r="I42" s="7">
        <v>12</v>
      </c>
      <c r="J42" s="7" t="s">
        <v>462</v>
      </c>
      <c r="K42" s="7" t="s">
        <v>133</v>
      </c>
      <c r="L42" s="7" t="s">
        <v>269</v>
      </c>
      <c r="M42" s="7" t="s">
        <v>286</v>
      </c>
      <c r="N42" s="7" t="s">
        <v>292</v>
      </c>
    </row>
    <row r="43" spans="1:14" ht="48" customHeight="1">
      <c r="A43" s="7" t="s">
        <v>293</v>
      </c>
      <c r="B43" s="7" t="s">
        <v>160</v>
      </c>
      <c r="C43" s="7" t="s">
        <v>269</v>
      </c>
      <c r="D43" s="7" t="s">
        <v>294</v>
      </c>
      <c r="E43" s="7" t="s">
        <v>295</v>
      </c>
      <c r="F43" s="7" t="s">
        <v>296</v>
      </c>
      <c r="G43" s="7" t="s">
        <v>225</v>
      </c>
      <c r="H43" s="7">
        <v>5</v>
      </c>
      <c r="I43" s="7">
        <v>12</v>
      </c>
      <c r="J43" s="7" t="s">
        <v>462</v>
      </c>
      <c r="K43" s="7" t="s">
        <v>133</v>
      </c>
      <c r="L43" s="7" t="s">
        <v>269</v>
      </c>
      <c r="M43" s="7" t="s">
        <v>286</v>
      </c>
      <c r="N43" s="7" t="s">
        <v>297</v>
      </c>
    </row>
    <row r="44" spans="1:14" ht="48" customHeight="1">
      <c r="A44" s="7" t="s">
        <v>413</v>
      </c>
      <c r="B44" s="7" t="s">
        <v>316</v>
      </c>
      <c r="C44" s="7" t="s">
        <v>269</v>
      </c>
      <c r="D44" s="7" t="s">
        <v>414</v>
      </c>
      <c r="E44" s="7" t="s">
        <v>415</v>
      </c>
      <c r="F44" s="7" t="s">
        <v>416</v>
      </c>
      <c r="G44" s="7" t="s">
        <v>171</v>
      </c>
      <c r="H44" s="7">
        <v>8</v>
      </c>
      <c r="I44" s="7">
        <v>13</v>
      </c>
      <c r="J44" s="7" t="s">
        <v>463</v>
      </c>
      <c r="K44" s="7" t="s">
        <v>133</v>
      </c>
      <c r="L44" s="7" t="s">
        <v>269</v>
      </c>
      <c r="M44" s="7" t="s">
        <v>411</v>
      </c>
      <c r="N44" s="7" t="s">
        <v>298</v>
      </c>
    </row>
    <row r="45" spans="1:14" ht="48" customHeight="1">
      <c r="A45" s="7" t="s">
        <v>298</v>
      </c>
      <c r="B45" s="7" t="s">
        <v>160</v>
      </c>
      <c r="C45" s="7" t="s">
        <v>269</v>
      </c>
      <c r="D45" s="7" t="s">
        <v>135</v>
      </c>
      <c r="E45" s="7" t="s">
        <v>299</v>
      </c>
      <c r="F45" s="7" t="s">
        <v>300</v>
      </c>
      <c r="G45" s="7" t="s">
        <v>171</v>
      </c>
      <c r="H45" s="7">
        <v>13</v>
      </c>
      <c r="I45" s="7">
        <v>13</v>
      </c>
      <c r="J45" s="7" t="s">
        <v>463</v>
      </c>
      <c r="K45" s="7" t="s">
        <v>133</v>
      </c>
      <c r="L45" s="7" t="s">
        <v>269</v>
      </c>
      <c r="M45" s="7" t="s">
        <v>286</v>
      </c>
      <c r="N45" s="7" t="s">
        <v>301</v>
      </c>
    </row>
    <row r="46" spans="1:14" ht="48" customHeight="1">
      <c r="A46" s="7" t="s">
        <v>417</v>
      </c>
      <c r="B46" s="7" t="s">
        <v>316</v>
      </c>
      <c r="C46" s="7" t="s">
        <v>269</v>
      </c>
      <c r="D46" s="7" t="s">
        <v>418</v>
      </c>
      <c r="E46" s="7" t="s">
        <v>419</v>
      </c>
      <c r="F46" s="7" t="s">
        <v>420</v>
      </c>
      <c r="G46" s="7" t="s">
        <v>225</v>
      </c>
      <c r="H46" s="7">
        <v>5</v>
      </c>
      <c r="I46" s="7">
        <v>13</v>
      </c>
      <c r="J46" s="7" t="s">
        <v>463</v>
      </c>
      <c r="K46" s="7" t="s">
        <v>133</v>
      </c>
      <c r="L46" s="7" t="s">
        <v>269</v>
      </c>
      <c r="M46" s="7" t="s">
        <v>411</v>
      </c>
      <c r="N46" s="7" t="s">
        <v>413</v>
      </c>
    </row>
    <row r="47" spans="1:14" ht="48" customHeight="1">
      <c r="A47" s="7" t="s">
        <v>421</v>
      </c>
      <c r="B47" s="7" t="s">
        <v>316</v>
      </c>
      <c r="C47" s="7" t="s">
        <v>256</v>
      </c>
      <c r="D47" s="7" t="s">
        <v>422</v>
      </c>
      <c r="E47" s="7" t="s">
        <v>423</v>
      </c>
      <c r="F47" s="7" t="s">
        <v>424</v>
      </c>
      <c r="G47" s="7" t="s">
        <v>171</v>
      </c>
      <c r="H47" s="7">
        <v>8</v>
      </c>
      <c r="I47" s="7">
        <v>14</v>
      </c>
      <c r="J47" s="7" t="s">
        <v>464</v>
      </c>
      <c r="K47" s="7" t="s">
        <v>133</v>
      </c>
      <c r="L47" s="7" t="s">
        <v>256</v>
      </c>
      <c r="M47" s="7" t="s">
        <v>425</v>
      </c>
      <c r="N47" s="7" t="s">
        <v>426</v>
      </c>
    </row>
    <row r="48" spans="1:14" ht="48" customHeight="1">
      <c r="A48" s="7" t="s">
        <v>302</v>
      </c>
      <c r="B48" s="7" t="s">
        <v>160</v>
      </c>
      <c r="C48" s="7" t="s">
        <v>256</v>
      </c>
      <c r="D48" s="7" t="s">
        <v>303</v>
      </c>
      <c r="E48" s="7" t="s">
        <v>304</v>
      </c>
      <c r="F48" s="7" t="s">
        <v>305</v>
      </c>
      <c r="G48" s="7" t="s">
        <v>171</v>
      </c>
      <c r="H48" s="7">
        <v>8</v>
      </c>
      <c r="I48" s="7">
        <v>14</v>
      </c>
      <c r="J48" s="7" t="s">
        <v>464</v>
      </c>
      <c r="K48" s="7" t="s">
        <v>133</v>
      </c>
      <c r="L48" s="7" t="s">
        <v>256</v>
      </c>
      <c r="M48" s="7" t="s">
        <v>306</v>
      </c>
      <c r="N48" s="7" t="s">
        <v>307</v>
      </c>
    </row>
    <row r="49" spans="1:14" ht="48" customHeight="1">
      <c r="A49" s="7" t="s">
        <v>427</v>
      </c>
      <c r="B49" s="7" t="s">
        <v>316</v>
      </c>
      <c r="C49" s="7" t="s">
        <v>256</v>
      </c>
      <c r="D49" s="7" t="s">
        <v>428</v>
      </c>
      <c r="E49" s="7" t="s">
        <v>429</v>
      </c>
      <c r="F49" s="7" t="s">
        <v>430</v>
      </c>
      <c r="G49" s="7" t="s">
        <v>225</v>
      </c>
      <c r="H49" s="7">
        <v>5</v>
      </c>
      <c r="I49" s="7">
        <v>14</v>
      </c>
      <c r="J49" s="7" t="s">
        <v>464</v>
      </c>
      <c r="K49" s="7" t="s">
        <v>133</v>
      </c>
      <c r="L49" s="7" t="s">
        <v>256</v>
      </c>
      <c r="M49" s="7" t="s">
        <v>431</v>
      </c>
      <c r="N49" s="7" t="s">
        <v>302</v>
      </c>
    </row>
    <row r="50" spans="1:14" ht="48" customHeight="1">
      <c r="A50" s="7" t="s">
        <v>432</v>
      </c>
      <c r="B50" s="7" t="s">
        <v>316</v>
      </c>
      <c r="C50" s="7" t="s">
        <v>334</v>
      </c>
      <c r="D50" s="7" t="s">
        <v>433</v>
      </c>
      <c r="E50" s="7" t="s">
        <v>434</v>
      </c>
      <c r="F50" s="7" t="s">
        <v>435</v>
      </c>
      <c r="G50" s="7" t="s">
        <v>171</v>
      </c>
      <c r="H50" s="7">
        <v>5</v>
      </c>
      <c r="I50" s="7">
        <v>15</v>
      </c>
      <c r="J50" s="7" t="s">
        <v>465</v>
      </c>
      <c r="K50" s="7" t="s">
        <v>133</v>
      </c>
      <c r="L50" s="7" t="s">
        <v>334</v>
      </c>
      <c r="M50" s="7" t="s">
        <v>436</v>
      </c>
      <c r="N50" s="7" t="s">
        <v>313</v>
      </c>
    </row>
    <row r="51" spans="1:14" ht="48" customHeight="1">
      <c r="A51" s="7" t="s">
        <v>466</v>
      </c>
      <c r="B51" s="7" t="s">
        <v>467</v>
      </c>
      <c r="C51" s="7" t="s">
        <v>172</v>
      </c>
      <c r="D51" s="7" t="s">
        <v>468</v>
      </c>
      <c r="E51" s="7" t="s">
        <v>469</v>
      </c>
      <c r="F51" s="7" t="s">
        <v>470</v>
      </c>
      <c r="G51" s="7" t="s">
        <v>171</v>
      </c>
      <c r="H51" s="7">
        <v>5</v>
      </c>
      <c r="I51" s="7">
        <v>15</v>
      </c>
      <c r="J51" s="7" t="s">
        <v>465</v>
      </c>
      <c r="K51" s="7" t="s">
        <v>133</v>
      </c>
      <c r="L51" s="7" t="s">
        <v>172</v>
      </c>
      <c r="M51" s="7" t="s">
        <v>471</v>
      </c>
      <c r="N51" s="7" t="s">
        <v>472</v>
      </c>
    </row>
    <row r="52" spans="1:14" ht="48" customHeight="1">
      <c r="A52" s="7" t="s">
        <v>473</v>
      </c>
      <c r="B52" s="7" t="s">
        <v>467</v>
      </c>
      <c r="C52" s="7" t="s">
        <v>269</v>
      </c>
      <c r="D52" s="7" t="s">
        <v>474</v>
      </c>
      <c r="E52" s="7" t="s">
        <v>475</v>
      </c>
      <c r="F52" s="7" t="s">
        <v>476</v>
      </c>
      <c r="G52" s="7" t="s">
        <v>171</v>
      </c>
      <c r="H52" s="7">
        <v>5</v>
      </c>
      <c r="I52" s="7">
        <v>15</v>
      </c>
      <c r="J52" s="7" t="s">
        <v>465</v>
      </c>
      <c r="K52" s="7" t="s">
        <v>133</v>
      </c>
      <c r="L52" s="7" t="s">
        <v>269</v>
      </c>
      <c r="M52" s="7" t="s">
        <v>477</v>
      </c>
      <c r="N52" s="7" t="s">
        <v>478</v>
      </c>
    </row>
    <row r="53" spans="1:14" ht="48" customHeight="1">
      <c r="A53" s="7" t="s">
        <v>479</v>
      </c>
      <c r="B53" s="7" t="s">
        <v>467</v>
      </c>
      <c r="C53" s="7" t="s">
        <v>256</v>
      </c>
      <c r="D53" s="7" t="s">
        <v>480</v>
      </c>
      <c r="E53" s="7" t="s">
        <v>481</v>
      </c>
      <c r="F53" s="7" t="s">
        <v>482</v>
      </c>
      <c r="G53" s="7" t="s">
        <v>171</v>
      </c>
      <c r="H53" s="7">
        <v>3</v>
      </c>
      <c r="I53" s="7">
        <v>15</v>
      </c>
      <c r="J53" s="7" t="s">
        <v>465</v>
      </c>
      <c r="K53" s="7" t="s">
        <v>133</v>
      </c>
      <c r="L53" s="7" t="s">
        <v>256</v>
      </c>
      <c r="M53" s="7" t="s">
        <v>483</v>
      </c>
      <c r="N53" s="7" t="s">
        <v>421</v>
      </c>
    </row>
    <row r="54" spans="1:14" ht="48" customHeight="1">
      <c r="A54" s="7" t="s">
        <v>484</v>
      </c>
      <c r="B54" s="7" t="s">
        <v>467</v>
      </c>
      <c r="C54" s="7" t="s">
        <v>334</v>
      </c>
      <c r="D54" s="7" t="s">
        <v>485</v>
      </c>
      <c r="E54" s="7" t="s">
        <v>486</v>
      </c>
      <c r="F54" s="7" t="s">
        <v>487</v>
      </c>
      <c r="G54" s="7" t="s">
        <v>225</v>
      </c>
      <c r="H54" s="7">
        <v>3</v>
      </c>
      <c r="I54" s="7">
        <v>15</v>
      </c>
      <c r="J54" s="7" t="s">
        <v>465</v>
      </c>
      <c r="K54" s="7" t="s">
        <v>133</v>
      </c>
      <c r="L54" s="7" t="s">
        <v>334</v>
      </c>
      <c r="M54" s="7" t="s">
        <v>488</v>
      </c>
      <c r="N54" s="7" t="s">
        <v>432</v>
      </c>
    </row>
    <row r="55" spans="1:14" ht="48" customHeight="1">
      <c r="A55" s="7" t="s">
        <v>489</v>
      </c>
      <c r="B55" s="7" t="s">
        <v>467</v>
      </c>
      <c r="C55" s="7" t="s">
        <v>334</v>
      </c>
      <c r="D55" s="7" t="s">
        <v>490</v>
      </c>
      <c r="E55" s="7" t="s">
        <v>491</v>
      </c>
      <c r="F55" s="7" t="s">
        <v>492</v>
      </c>
      <c r="G55" s="7" t="s">
        <v>171</v>
      </c>
      <c r="H55" s="7">
        <v>5</v>
      </c>
      <c r="I55" s="7">
        <v>16</v>
      </c>
      <c r="J55" s="7" t="s">
        <v>493</v>
      </c>
      <c r="K55" s="7" t="s">
        <v>133</v>
      </c>
      <c r="L55" s="7" t="s">
        <v>334</v>
      </c>
      <c r="M55" s="7" t="s">
        <v>494</v>
      </c>
      <c r="N55" s="7" t="s">
        <v>308</v>
      </c>
    </row>
    <row r="56" spans="1:14" ht="48" customHeight="1">
      <c r="A56" s="7" t="s">
        <v>495</v>
      </c>
      <c r="B56" s="7" t="s">
        <v>467</v>
      </c>
      <c r="C56" s="7" t="s">
        <v>334</v>
      </c>
      <c r="D56" s="7" t="s">
        <v>496</v>
      </c>
      <c r="E56" s="7" t="s">
        <v>497</v>
      </c>
      <c r="F56" s="7" t="s">
        <v>498</v>
      </c>
      <c r="G56" s="7" t="s">
        <v>171</v>
      </c>
      <c r="H56" s="7">
        <v>3</v>
      </c>
      <c r="I56" s="7">
        <v>16</v>
      </c>
      <c r="J56" s="7" t="s">
        <v>493</v>
      </c>
      <c r="K56" s="7" t="s">
        <v>133</v>
      </c>
      <c r="L56" s="7" t="s">
        <v>334</v>
      </c>
      <c r="M56" s="7" t="s">
        <v>499</v>
      </c>
      <c r="N56" s="7" t="s">
        <v>489</v>
      </c>
    </row>
    <row r="57" spans="1:14" ht="48" customHeight="1">
      <c r="A57" s="7" t="s">
        <v>437</v>
      </c>
      <c r="B57" s="7" t="s">
        <v>316</v>
      </c>
      <c r="C57" s="7" t="s">
        <v>334</v>
      </c>
      <c r="D57" s="7" t="s">
        <v>438</v>
      </c>
      <c r="E57" s="7" t="s">
        <v>439</v>
      </c>
      <c r="F57" s="7" t="s">
        <v>440</v>
      </c>
      <c r="G57" s="7" t="s">
        <v>171</v>
      </c>
      <c r="H57" s="7">
        <v>3</v>
      </c>
      <c r="I57" s="7">
        <v>16</v>
      </c>
      <c r="J57" s="7" t="s">
        <v>493</v>
      </c>
      <c r="K57" s="7" t="s">
        <v>133</v>
      </c>
      <c r="L57" s="7" t="s">
        <v>334</v>
      </c>
      <c r="M57" s="7" t="s">
        <v>441</v>
      </c>
      <c r="N57" s="7" t="s">
        <v>432</v>
      </c>
    </row>
    <row r="58" spans="1:14" ht="48" customHeight="1">
      <c r="A58" s="7" t="s">
        <v>308</v>
      </c>
      <c r="B58" s="7" t="s">
        <v>160</v>
      </c>
      <c r="C58" s="7" t="s">
        <v>256</v>
      </c>
      <c r="D58" s="7" t="s">
        <v>309</v>
      </c>
      <c r="E58" s="7" t="s">
        <v>310</v>
      </c>
      <c r="F58" s="7" t="s">
        <v>311</v>
      </c>
      <c r="G58" s="7" t="s">
        <v>171</v>
      </c>
      <c r="H58" s="7">
        <v>8</v>
      </c>
      <c r="I58" s="7">
        <v>16</v>
      </c>
      <c r="J58" s="7" t="s">
        <v>493</v>
      </c>
      <c r="K58" s="7" t="s">
        <v>133</v>
      </c>
      <c r="L58" s="7" t="s">
        <v>256</v>
      </c>
      <c r="M58" s="7" t="s">
        <v>312</v>
      </c>
      <c r="N58" s="7" t="s">
        <v>313</v>
      </c>
    </row>
    <row r="59" spans="1:14" ht="48" customHeight="1">
      <c r="A59" s="7" t="s">
        <v>500</v>
      </c>
      <c r="B59" s="7" t="s">
        <v>467</v>
      </c>
      <c r="C59" s="7" t="s">
        <v>256</v>
      </c>
      <c r="D59" s="7" t="s">
        <v>501</v>
      </c>
      <c r="E59" s="7" t="s">
        <v>502</v>
      </c>
      <c r="F59" s="7" t="s">
        <v>503</v>
      </c>
      <c r="G59" s="7" t="s">
        <v>171</v>
      </c>
      <c r="H59" s="7">
        <v>5</v>
      </c>
      <c r="I59" s="7">
        <v>16</v>
      </c>
      <c r="J59" s="7" t="s">
        <v>493</v>
      </c>
      <c r="K59" s="7" t="s">
        <v>133</v>
      </c>
      <c r="L59" s="7" t="s">
        <v>256</v>
      </c>
      <c r="M59" s="7" t="s">
        <v>504</v>
      </c>
      <c r="N59" s="7" t="s">
        <v>308</v>
      </c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N1"/>
    <mergeCell ref="A2:N2"/>
  </mergeCells>
  <conditionalFormatting sqref="A4:N59">
    <cfRule type="expression" dxfId="24" priority="1">
      <formula>$K4="Implementado"</formula>
    </cfRule>
    <cfRule type="expression" dxfId="23" priority="2">
      <formula>$K4="En progreso"</formula>
    </cfRule>
    <cfRule type="expression" dxfId="22" priority="3">
      <formula>$K4="Planificado"</formula>
    </cfRule>
    <cfRule type="expression" dxfId="21" priority="4">
      <formula>ISNUMBER(SEARCH("Octalysis", $D4))</formula>
    </cfRule>
  </conditionalFormatting>
  <conditionalFormatting sqref="H4:H59">
    <cfRule type="dataBar" priority="5">
      <dataBar>
        <cfvo type="min"/>
        <cfvo type="max"/>
        <color rgb="FF1F7A8C"/>
      </dataBar>
    </cfRule>
    <cfRule type="dataBar" priority="6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{EF92B614-8A3B-3CC7-DE28-5EDFEC433421}</x14:id>
        </ext>
      </extLst>
    </cfRule>
  </conditionalFormatting>
  <dataValidations count="2">
    <dataValidation type="list" sqref="K4:K59" xr:uid="{00000000-0002-0000-0400-000000000000}">
      <formula1>"Implementado,Implementado con ajustes,Documentado,Documentado / implementado,Aplicado en diseño,Aplicado en diseño / pendiente de evidencia técnica,En progreso,Planificado / en progreso,Planificado"</formula1>
    </dataValidation>
    <dataValidation type="list" sqref="G4:G59" xr:uid="{00000000-0002-0000-0400-000001000000}">
      <formula1>"Alta,Media,Baja"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92B614-8A3B-3CC7-DE28-5EDFEC433421}">
            <x14:dataBar>
              <x14:cfvo type="min"/>
              <x14:cfvo type="max"/>
              <x14:negativeFillColor auto="1"/>
              <x14:axisColor auto="1"/>
            </x14:dataBar>
          </x14:cfRule>
          <xm:sqref>H4:H59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0"/>
  <sheetViews>
    <sheetView topLeftCell="A13" zoomScale="85" zoomScaleNormal="85" workbookViewId="0">
      <selection activeCell="F19" sqref="A1:F19"/>
    </sheetView>
  </sheetViews>
  <sheetFormatPr baseColWidth="10" defaultColWidth="9" defaultRowHeight="14.25"/>
  <cols>
    <col min="1" max="1" width="30" customWidth="1"/>
    <col min="2" max="2" width="26" customWidth="1"/>
    <col min="3" max="3" width="50" customWidth="1"/>
    <col min="4" max="4" width="24" customWidth="1"/>
    <col min="5" max="5" width="34" customWidth="1"/>
    <col min="6" max="6" width="70" customWidth="1"/>
  </cols>
  <sheetData>
    <row r="1" spans="1:14" ht="27.95" customHeight="1">
      <c r="A1" s="14" t="s">
        <v>505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</row>
    <row r="2" spans="1:14">
      <c r="A2" s="16" t="s">
        <v>506</v>
      </c>
      <c r="B2" s="15"/>
      <c r="C2" s="15"/>
      <c r="D2" s="15"/>
      <c r="E2" s="15"/>
      <c r="F2" s="15"/>
      <c r="G2" s="1"/>
      <c r="H2" s="1"/>
      <c r="I2" s="1"/>
      <c r="J2" s="1"/>
      <c r="K2" s="1"/>
      <c r="L2" s="1"/>
      <c r="M2" s="1"/>
      <c r="N2" s="1"/>
    </row>
    <row r="3" spans="1:14" ht="30" customHeight="1">
      <c r="A3" s="6" t="s">
        <v>507</v>
      </c>
      <c r="B3" s="6" t="s">
        <v>508</v>
      </c>
      <c r="C3" s="6" t="s">
        <v>509</v>
      </c>
      <c r="D3" s="6" t="s">
        <v>67</v>
      </c>
      <c r="E3" s="6" t="s">
        <v>510</v>
      </c>
      <c r="F3" s="6" t="s">
        <v>511</v>
      </c>
      <c r="G3" s="1"/>
      <c r="H3" s="1"/>
      <c r="I3" s="1"/>
      <c r="J3" s="1"/>
      <c r="K3" s="1"/>
      <c r="L3" s="1"/>
      <c r="M3" s="1"/>
      <c r="N3" s="1"/>
    </row>
    <row r="4" spans="1:14" ht="48" customHeight="1">
      <c r="A4" s="7" t="s">
        <v>512</v>
      </c>
      <c r="B4" s="7" t="s">
        <v>513</v>
      </c>
      <c r="C4" s="7" t="s">
        <v>514</v>
      </c>
      <c r="D4" s="7" t="s">
        <v>72</v>
      </c>
      <c r="E4" s="7" t="s">
        <v>324</v>
      </c>
      <c r="F4" s="7" t="s">
        <v>515</v>
      </c>
      <c r="G4" s="1"/>
      <c r="H4" s="1"/>
      <c r="I4" s="1"/>
      <c r="J4" s="1"/>
      <c r="K4" s="1"/>
      <c r="L4" s="1"/>
      <c r="M4" s="1"/>
      <c r="N4" s="1"/>
    </row>
    <row r="5" spans="1:14" ht="48" customHeight="1">
      <c r="A5" s="7" t="s">
        <v>516</v>
      </c>
      <c r="B5" s="7" t="s">
        <v>517</v>
      </c>
      <c r="C5" s="7" t="s">
        <v>518</v>
      </c>
      <c r="D5" s="7" t="s">
        <v>333</v>
      </c>
      <c r="E5" s="7" t="s">
        <v>329</v>
      </c>
      <c r="F5" s="7" t="s">
        <v>519</v>
      </c>
      <c r="G5" s="1"/>
      <c r="H5" s="1"/>
      <c r="I5" s="1"/>
      <c r="J5" s="1"/>
      <c r="K5" s="1"/>
      <c r="L5" s="1"/>
      <c r="M5" s="1"/>
      <c r="N5" s="1"/>
    </row>
    <row r="6" spans="1:14" ht="48" customHeight="1">
      <c r="A6" s="7" t="s">
        <v>520</v>
      </c>
      <c r="B6" s="7" t="s">
        <v>513</v>
      </c>
      <c r="C6" s="7" t="s">
        <v>521</v>
      </c>
      <c r="D6" s="7" t="s">
        <v>78</v>
      </c>
      <c r="E6" s="7" t="s">
        <v>522</v>
      </c>
      <c r="F6" s="7" t="s">
        <v>523</v>
      </c>
      <c r="G6" s="1"/>
      <c r="H6" s="1"/>
      <c r="I6" s="1"/>
      <c r="J6" s="1"/>
      <c r="K6" s="1"/>
      <c r="L6" s="1"/>
      <c r="M6" s="1"/>
      <c r="N6" s="1"/>
    </row>
    <row r="7" spans="1:14" ht="48" customHeight="1">
      <c r="A7" s="7" t="s">
        <v>524</v>
      </c>
      <c r="B7" s="7" t="s">
        <v>513</v>
      </c>
      <c r="C7" s="7" t="s">
        <v>192</v>
      </c>
      <c r="D7" s="7" t="s">
        <v>78</v>
      </c>
      <c r="E7" s="7" t="s">
        <v>525</v>
      </c>
      <c r="F7" s="7" t="s">
        <v>526</v>
      </c>
      <c r="G7" s="1"/>
      <c r="H7" s="1"/>
      <c r="I7" s="1"/>
      <c r="J7" s="1"/>
      <c r="K7" s="1"/>
      <c r="L7" s="1"/>
      <c r="M7" s="1"/>
      <c r="N7" s="1"/>
    </row>
    <row r="8" spans="1:14" ht="48" customHeight="1">
      <c r="A8" s="7" t="s">
        <v>527</v>
      </c>
      <c r="B8" s="7" t="s">
        <v>513</v>
      </c>
      <c r="C8" s="7" t="s">
        <v>528</v>
      </c>
      <c r="D8" s="7" t="s">
        <v>78</v>
      </c>
      <c r="E8" s="7" t="s">
        <v>193</v>
      </c>
      <c r="F8" s="7" t="s">
        <v>529</v>
      </c>
      <c r="G8" s="1"/>
      <c r="H8" s="1"/>
      <c r="I8" s="1"/>
      <c r="J8" s="1"/>
      <c r="K8" s="1"/>
      <c r="L8" s="1"/>
      <c r="M8" s="1"/>
      <c r="N8" s="1"/>
    </row>
    <row r="9" spans="1:14" ht="48" customHeight="1">
      <c r="A9" s="7" t="s">
        <v>530</v>
      </c>
      <c r="B9" s="7" t="s">
        <v>513</v>
      </c>
      <c r="C9" s="7" t="s">
        <v>531</v>
      </c>
      <c r="D9" s="7" t="s">
        <v>78</v>
      </c>
      <c r="E9" s="7" t="s">
        <v>198</v>
      </c>
      <c r="F9" s="7" t="s">
        <v>532</v>
      </c>
      <c r="G9" s="1"/>
      <c r="H9" s="1"/>
      <c r="I9" s="1"/>
      <c r="J9" s="1"/>
      <c r="K9" s="1"/>
      <c r="L9" s="1"/>
      <c r="M9" s="1"/>
      <c r="N9" s="1"/>
    </row>
    <row r="10" spans="1:14" ht="48" customHeight="1">
      <c r="A10" s="7" t="s">
        <v>533</v>
      </c>
      <c r="B10" s="7" t="s">
        <v>513</v>
      </c>
      <c r="C10" s="7" t="s">
        <v>534</v>
      </c>
      <c r="D10" s="7" t="s">
        <v>78</v>
      </c>
      <c r="E10" s="7" t="s">
        <v>535</v>
      </c>
      <c r="F10" s="7" t="s">
        <v>536</v>
      </c>
      <c r="G10" s="1"/>
      <c r="H10" s="1"/>
      <c r="I10" s="1"/>
      <c r="J10" s="1"/>
      <c r="K10" s="1"/>
      <c r="L10" s="1"/>
      <c r="M10" s="1"/>
      <c r="N10" s="1"/>
    </row>
    <row r="11" spans="1:14" ht="48" customHeight="1">
      <c r="A11" s="7" t="s">
        <v>95</v>
      </c>
      <c r="B11" s="7" t="s">
        <v>513</v>
      </c>
      <c r="C11" s="7" t="s">
        <v>537</v>
      </c>
      <c r="D11" s="7" t="s">
        <v>78</v>
      </c>
      <c r="E11" s="7" t="s">
        <v>538</v>
      </c>
      <c r="F11" s="7" t="s">
        <v>539</v>
      </c>
      <c r="G11" s="1"/>
      <c r="H11" s="1"/>
      <c r="I11" s="1"/>
      <c r="J11" s="1"/>
      <c r="K11" s="1"/>
      <c r="L11" s="1"/>
      <c r="M11" s="1"/>
      <c r="N11" s="1"/>
    </row>
    <row r="12" spans="1:14" ht="48" customHeight="1">
      <c r="A12" s="7" t="s">
        <v>100</v>
      </c>
      <c r="B12" s="7" t="s">
        <v>513</v>
      </c>
      <c r="C12" s="7" t="s">
        <v>540</v>
      </c>
      <c r="D12" s="7" t="s">
        <v>78</v>
      </c>
      <c r="E12" s="7" t="s">
        <v>541</v>
      </c>
      <c r="F12" s="7" t="s">
        <v>542</v>
      </c>
      <c r="G12" s="1"/>
      <c r="H12" s="1"/>
      <c r="I12" s="1"/>
      <c r="J12" s="1"/>
      <c r="K12" s="1"/>
      <c r="L12" s="1"/>
      <c r="M12" s="1"/>
      <c r="N12" s="1"/>
    </row>
    <row r="13" spans="1:14" ht="48" customHeight="1">
      <c r="A13" s="7" t="s">
        <v>543</v>
      </c>
      <c r="B13" s="7" t="s">
        <v>513</v>
      </c>
      <c r="C13" s="7" t="s">
        <v>544</v>
      </c>
      <c r="D13" s="7" t="s">
        <v>78</v>
      </c>
      <c r="E13" s="7" t="s">
        <v>545</v>
      </c>
      <c r="F13" s="7" t="s">
        <v>546</v>
      </c>
      <c r="G13" s="1"/>
      <c r="H13" s="1"/>
      <c r="I13" s="1"/>
      <c r="J13" s="1"/>
      <c r="K13" s="1"/>
      <c r="L13" s="1"/>
      <c r="M13" s="1"/>
      <c r="N13" s="1"/>
    </row>
    <row r="14" spans="1:14" ht="48" customHeight="1">
      <c r="A14" s="7" t="s">
        <v>547</v>
      </c>
      <c r="B14" s="7" t="s">
        <v>548</v>
      </c>
      <c r="C14" s="7" t="s">
        <v>549</v>
      </c>
      <c r="D14" s="7" t="s">
        <v>255</v>
      </c>
      <c r="E14" s="7" t="s">
        <v>550</v>
      </c>
      <c r="F14" s="7" t="s">
        <v>551</v>
      </c>
      <c r="G14" s="1"/>
      <c r="H14" s="1"/>
      <c r="I14" s="1"/>
      <c r="J14" s="1"/>
      <c r="K14" s="1"/>
      <c r="L14" s="1"/>
      <c r="M14" s="1"/>
      <c r="N14" s="1"/>
    </row>
    <row r="15" spans="1:14" ht="48" customHeight="1">
      <c r="A15" s="7" t="s">
        <v>552</v>
      </c>
      <c r="B15" s="7" t="s">
        <v>553</v>
      </c>
      <c r="C15" s="7" t="s">
        <v>554</v>
      </c>
      <c r="D15" s="7" t="s">
        <v>121</v>
      </c>
      <c r="E15" s="7" t="s">
        <v>120</v>
      </c>
      <c r="F15" s="7" t="s">
        <v>555</v>
      </c>
      <c r="G15" s="1"/>
      <c r="H15" s="1"/>
      <c r="I15" s="1"/>
      <c r="J15" s="1"/>
      <c r="K15" s="1"/>
      <c r="L15" s="1"/>
      <c r="M15" s="1"/>
      <c r="N15" s="1"/>
    </row>
    <row r="16" spans="1:14" ht="48" customHeight="1">
      <c r="A16" s="7" t="s">
        <v>556</v>
      </c>
      <c r="B16" s="7" t="s">
        <v>553</v>
      </c>
      <c r="C16" s="7" t="s">
        <v>557</v>
      </c>
      <c r="D16" s="7" t="s">
        <v>127</v>
      </c>
      <c r="E16" s="7" t="s">
        <v>126</v>
      </c>
      <c r="F16" s="7" t="s">
        <v>558</v>
      </c>
      <c r="G16" s="1"/>
      <c r="H16" s="1"/>
      <c r="I16" s="1"/>
      <c r="J16" s="1"/>
      <c r="K16" s="1"/>
      <c r="L16" s="1"/>
      <c r="M16" s="1"/>
      <c r="N16" s="1"/>
    </row>
    <row r="17" spans="1:14" ht="48" customHeight="1">
      <c r="A17" s="7" t="s">
        <v>559</v>
      </c>
      <c r="B17" s="7" t="s">
        <v>553</v>
      </c>
      <c r="C17" s="7" t="s">
        <v>411</v>
      </c>
      <c r="D17" s="7" t="s">
        <v>133</v>
      </c>
      <c r="E17" s="7" t="s">
        <v>132</v>
      </c>
      <c r="F17" s="7" t="s">
        <v>560</v>
      </c>
      <c r="G17" s="1"/>
      <c r="H17" s="1"/>
      <c r="I17" s="1"/>
      <c r="J17" s="1"/>
      <c r="K17" s="1"/>
      <c r="L17" s="1"/>
      <c r="M17" s="1"/>
      <c r="N17" s="1"/>
    </row>
    <row r="18" spans="1:14" ht="48" customHeight="1">
      <c r="A18" s="7" t="s">
        <v>135</v>
      </c>
      <c r="B18" s="7" t="s">
        <v>553</v>
      </c>
      <c r="C18" s="7" t="s">
        <v>411</v>
      </c>
      <c r="D18" s="7" t="s">
        <v>133</v>
      </c>
      <c r="E18" s="7" t="s">
        <v>138</v>
      </c>
      <c r="F18" s="7" t="s">
        <v>561</v>
      </c>
      <c r="G18" s="1"/>
      <c r="H18" s="1"/>
      <c r="I18" s="1"/>
      <c r="J18" s="1"/>
      <c r="K18" s="1"/>
      <c r="L18" s="1"/>
      <c r="M18" s="1"/>
      <c r="N18" s="1"/>
    </row>
    <row r="19" spans="1:14" ht="48" customHeight="1">
      <c r="A19" s="7" t="s">
        <v>562</v>
      </c>
      <c r="B19" s="7" t="s">
        <v>517</v>
      </c>
      <c r="C19" s="7" t="s">
        <v>563</v>
      </c>
      <c r="D19" s="7" t="s">
        <v>133</v>
      </c>
      <c r="E19" s="7" t="s">
        <v>564</v>
      </c>
      <c r="F19" s="7" t="s">
        <v>565</v>
      </c>
      <c r="G19" s="1"/>
      <c r="H19" s="1"/>
      <c r="I19" s="1"/>
      <c r="J19" s="1"/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selection sqref="A1:H11"/>
    </sheetView>
  </sheetViews>
  <sheetFormatPr baseColWidth="10" defaultColWidth="9" defaultRowHeight="14.25"/>
  <cols>
    <col min="1" max="1" width="28" customWidth="1"/>
    <col min="2" max="2" width="38" customWidth="1"/>
    <col min="3" max="4" width="55" customWidth="1"/>
    <col min="5" max="5" width="24" customWidth="1"/>
    <col min="6" max="6" width="18" customWidth="1"/>
    <col min="7" max="7" width="24" customWidth="1"/>
  </cols>
  <sheetData>
    <row r="1" spans="1:14" ht="27.95" customHeight="1">
      <c r="A1" s="14" t="s">
        <v>566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</row>
    <row r="2" spans="1:14">
      <c r="A2" s="16" t="s">
        <v>567</v>
      </c>
      <c r="B2" s="15"/>
      <c r="C2" s="15"/>
      <c r="D2" s="15"/>
      <c r="E2" s="15"/>
      <c r="F2" s="15"/>
      <c r="G2" s="15"/>
      <c r="H2" s="15"/>
      <c r="I2" s="1"/>
      <c r="J2" s="1"/>
      <c r="K2" s="1"/>
      <c r="L2" s="1"/>
      <c r="M2" s="1"/>
      <c r="N2" s="1"/>
    </row>
    <row r="3" spans="1:14" ht="30" customHeight="1">
      <c r="A3" s="6" t="s">
        <v>568</v>
      </c>
      <c r="B3" s="6" t="s">
        <v>569</v>
      </c>
      <c r="C3" s="6" t="s">
        <v>570</v>
      </c>
      <c r="D3" s="6" t="s">
        <v>571</v>
      </c>
      <c r="E3" s="6" t="s">
        <v>510</v>
      </c>
      <c r="F3" s="6" t="s">
        <v>59</v>
      </c>
      <c r="G3" s="6" t="s">
        <v>67</v>
      </c>
      <c r="H3" s="6"/>
      <c r="I3" s="1"/>
      <c r="J3" s="1"/>
      <c r="K3" s="1"/>
      <c r="L3" s="1"/>
      <c r="M3" s="1"/>
      <c r="N3" s="1"/>
    </row>
    <row r="4" spans="1:14" ht="48" customHeight="1">
      <c r="A4" s="7" t="s">
        <v>572</v>
      </c>
      <c r="B4" s="7" t="s">
        <v>573</v>
      </c>
      <c r="C4" s="7" t="s">
        <v>574</v>
      </c>
      <c r="D4" s="7" t="s">
        <v>575</v>
      </c>
      <c r="E4" s="7" t="s">
        <v>387</v>
      </c>
      <c r="F4" s="7" t="s">
        <v>576</v>
      </c>
      <c r="G4" s="7" t="s">
        <v>577</v>
      </c>
      <c r="H4" s="5"/>
      <c r="I4" s="1"/>
      <c r="J4" s="1"/>
      <c r="K4" s="1"/>
      <c r="L4" s="1"/>
      <c r="M4" s="1"/>
      <c r="N4" s="1"/>
    </row>
    <row r="5" spans="1:14" ht="48" customHeight="1">
      <c r="A5" s="7" t="s">
        <v>578</v>
      </c>
      <c r="B5" s="7" t="s">
        <v>579</v>
      </c>
      <c r="C5" s="7" t="s">
        <v>580</v>
      </c>
      <c r="D5" s="7" t="s">
        <v>581</v>
      </c>
      <c r="E5" s="7" t="s">
        <v>250</v>
      </c>
      <c r="F5" s="7" t="s">
        <v>576</v>
      </c>
      <c r="G5" s="7" t="s">
        <v>577</v>
      </c>
      <c r="H5" s="5"/>
      <c r="I5" s="1"/>
      <c r="J5" s="1"/>
      <c r="K5" s="1"/>
      <c r="L5" s="1"/>
      <c r="M5" s="1"/>
      <c r="N5" s="1"/>
    </row>
    <row r="6" spans="1:14" ht="48" customHeight="1">
      <c r="A6" s="7" t="s">
        <v>582</v>
      </c>
      <c r="B6" s="7" t="s">
        <v>583</v>
      </c>
      <c r="C6" s="7" t="s">
        <v>584</v>
      </c>
      <c r="D6" s="7" t="s">
        <v>585</v>
      </c>
      <c r="E6" s="7" t="s">
        <v>259</v>
      </c>
      <c r="F6" s="7" t="s">
        <v>576</v>
      </c>
      <c r="G6" s="7" t="s">
        <v>577</v>
      </c>
      <c r="H6" s="5"/>
      <c r="I6" s="1"/>
      <c r="J6" s="1"/>
      <c r="K6" s="1"/>
      <c r="L6" s="1"/>
      <c r="M6" s="1"/>
      <c r="N6" s="1"/>
    </row>
    <row r="7" spans="1:14" ht="48" customHeight="1">
      <c r="A7" s="7" t="s">
        <v>586</v>
      </c>
      <c r="B7" s="7" t="s">
        <v>587</v>
      </c>
      <c r="C7" s="7" t="s">
        <v>588</v>
      </c>
      <c r="D7" s="7" t="s">
        <v>589</v>
      </c>
      <c r="E7" s="7" t="s">
        <v>590</v>
      </c>
      <c r="F7" s="7" t="s">
        <v>591</v>
      </c>
      <c r="G7" s="7" t="s">
        <v>592</v>
      </c>
      <c r="H7" s="5"/>
      <c r="I7" s="1"/>
      <c r="J7" s="1"/>
      <c r="K7" s="1"/>
      <c r="L7" s="1"/>
      <c r="M7" s="1"/>
      <c r="N7" s="1"/>
    </row>
    <row r="8" spans="1:14" ht="48" customHeight="1">
      <c r="A8" s="7" t="s">
        <v>593</v>
      </c>
      <c r="B8" s="7" t="s">
        <v>594</v>
      </c>
      <c r="C8" s="7" t="s">
        <v>595</v>
      </c>
      <c r="D8" s="7" t="s">
        <v>596</v>
      </c>
      <c r="E8" s="7" t="s">
        <v>259</v>
      </c>
      <c r="F8" s="7" t="s">
        <v>576</v>
      </c>
      <c r="G8" s="7" t="s">
        <v>577</v>
      </c>
      <c r="H8" s="5"/>
      <c r="I8" s="1"/>
      <c r="J8" s="1"/>
      <c r="K8" s="1"/>
      <c r="L8" s="1"/>
      <c r="M8" s="1"/>
      <c r="N8" s="1"/>
    </row>
    <row r="9" spans="1:14" ht="48" customHeight="1">
      <c r="A9" s="7" t="s">
        <v>597</v>
      </c>
      <c r="B9" s="7" t="s">
        <v>598</v>
      </c>
      <c r="C9" s="7" t="s">
        <v>599</v>
      </c>
      <c r="D9" s="7" t="s">
        <v>600</v>
      </c>
      <c r="E9" s="7" t="s">
        <v>601</v>
      </c>
      <c r="F9" s="7" t="s">
        <v>602</v>
      </c>
      <c r="G9" s="7" t="s">
        <v>603</v>
      </c>
      <c r="H9" s="5"/>
      <c r="I9" s="1"/>
      <c r="J9" s="1"/>
      <c r="K9" s="1"/>
      <c r="L9" s="1"/>
      <c r="M9" s="1"/>
      <c r="N9" s="1"/>
    </row>
    <row r="10" spans="1:14" ht="48" customHeight="1">
      <c r="A10" s="7" t="s">
        <v>604</v>
      </c>
      <c r="B10" s="7" t="s">
        <v>605</v>
      </c>
      <c r="C10" s="7" t="s">
        <v>606</v>
      </c>
      <c r="D10" s="7" t="s">
        <v>607</v>
      </c>
      <c r="E10" s="7" t="s">
        <v>250</v>
      </c>
      <c r="F10" s="7" t="s">
        <v>576</v>
      </c>
      <c r="G10" s="7" t="s">
        <v>577</v>
      </c>
      <c r="H10" s="5"/>
      <c r="I10" s="1"/>
      <c r="J10" s="1"/>
      <c r="K10" s="1"/>
      <c r="L10" s="1"/>
      <c r="M10" s="1"/>
      <c r="N10" s="1"/>
    </row>
    <row r="11" spans="1:14" ht="48" customHeight="1">
      <c r="A11" s="7" t="s">
        <v>608</v>
      </c>
      <c r="B11" s="7" t="s">
        <v>609</v>
      </c>
      <c r="C11" s="7" t="s">
        <v>610</v>
      </c>
      <c r="D11" s="7" t="s">
        <v>611</v>
      </c>
      <c r="E11" s="7" t="s">
        <v>612</v>
      </c>
      <c r="F11" s="7" t="s">
        <v>613</v>
      </c>
      <c r="G11" s="7" t="s">
        <v>614</v>
      </c>
      <c r="H11" s="5"/>
      <c r="I11" s="1"/>
      <c r="J11" s="1"/>
      <c r="K11" s="1"/>
      <c r="L11" s="1"/>
      <c r="M11" s="1"/>
      <c r="N11" s="1"/>
    </row>
    <row r="12" spans="1:14" ht="4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4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4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4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4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4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0"/>
  <sheetViews>
    <sheetView workbookViewId="0">
      <selection activeCell="B7" sqref="B7"/>
    </sheetView>
  </sheetViews>
  <sheetFormatPr baseColWidth="10" defaultColWidth="9" defaultRowHeight="14.25"/>
  <cols>
    <col min="1" max="1" width="24" customWidth="1"/>
    <col min="2" max="2" width="48" customWidth="1"/>
    <col min="3" max="3" width="70" customWidth="1"/>
    <col min="4" max="4" width="50" customWidth="1"/>
  </cols>
  <sheetData>
    <row r="1" spans="1:14" ht="27.95" customHeight="1">
      <c r="A1" s="17" t="s">
        <v>615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9" t="s">
        <v>616</v>
      </c>
      <c r="B2" s="18"/>
      <c r="C2" s="18"/>
      <c r="D2" s="18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0" customHeight="1">
      <c r="A3" s="9" t="s">
        <v>617</v>
      </c>
      <c r="B3" s="9" t="s">
        <v>618</v>
      </c>
      <c r="C3" s="9" t="s">
        <v>619</v>
      </c>
      <c r="D3" s="9" t="s">
        <v>620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" customHeight="1">
      <c r="A4" s="10" t="s">
        <v>621</v>
      </c>
      <c r="B4" s="10" t="s">
        <v>622</v>
      </c>
      <c r="C4" s="10" t="s">
        <v>623</v>
      </c>
      <c r="D4" s="10" t="s">
        <v>624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8" customHeight="1">
      <c r="A5" s="10" t="s">
        <v>621</v>
      </c>
      <c r="B5" s="10" t="s">
        <v>625</v>
      </c>
      <c r="C5" s="10" t="s">
        <v>626</v>
      </c>
      <c r="D5" s="10" t="s">
        <v>627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8" customHeight="1">
      <c r="A6" s="10" t="s">
        <v>621</v>
      </c>
      <c r="B6" s="10" t="s">
        <v>628</v>
      </c>
      <c r="C6" s="10" t="s">
        <v>629</v>
      </c>
      <c r="D6" s="10" t="s">
        <v>630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48" customHeight="1">
      <c r="A7" s="10" t="s">
        <v>621</v>
      </c>
      <c r="B7" s="10" t="s">
        <v>631</v>
      </c>
      <c r="C7" s="10" t="s">
        <v>632</v>
      </c>
      <c r="D7" s="10" t="s">
        <v>633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8" customHeight="1">
      <c r="A8" s="10" t="s">
        <v>621</v>
      </c>
      <c r="B8" s="10" t="s">
        <v>634</v>
      </c>
      <c r="C8" s="10" t="s">
        <v>635</v>
      </c>
      <c r="D8" s="10" t="s">
        <v>636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48" customHeight="1">
      <c r="A9" s="10" t="s">
        <v>637</v>
      </c>
      <c r="B9" s="10" t="s">
        <v>638</v>
      </c>
      <c r="C9" s="10" t="s">
        <v>639</v>
      </c>
      <c r="D9" s="10" t="s">
        <v>640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48" customHeight="1">
      <c r="A10" s="10" t="s">
        <v>637</v>
      </c>
      <c r="B10" s="10" t="s">
        <v>641</v>
      </c>
      <c r="C10" s="10" t="s">
        <v>642</v>
      </c>
      <c r="D10" s="10" t="s">
        <v>643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48" customHeight="1">
      <c r="A11" s="10" t="s">
        <v>637</v>
      </c>
      <c r="B11" s="10" t="s">
        <v>644</v>
      </c>
      <c r="C11" s="10" t="s">
        <v>645</v>
      </c>
      <c r="D11" s="10" t="s">
        <v>646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48" customHeight="1">
      <c r="A12" s="10" t="s">
        <v>637</v>
      </c>
      <c r="B12" s="10" t="s">
        <v>647</v>
      </c>
      <c r="C12" s="10" t="s">
        <v>648</v>
      </c>
      <c r="D12" s="10" t="s">
        <v>649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48" customHeight="1">
      <c r="A13" s="10" t="s">
        <v>637</v>
      </c>
      <c r="B13" s="10" t="s">
        <v>650</v>
      </c>
      <c r="C13" s="10" t="s">
        <v>651</v>
      </c>
      <c r="D13" s="10" t="s">
        <v>652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48" customHeight="1">
      <c r="A14" s="10" t="s">
        <v>653</v>
      </c>
      <c r="B14" s="10" t="s">
        <v>654</v>
      </c>
      <c r="C14" s="10" t="s">
        <v>655</v>
      </c>
      <c r="D14" s="10" t="s">
        <v>636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48" customHeight="1">
      <c r="A15" s="10" t="s">
        <v>653</v>
      </c>
      <c r="B15" s="10" t="s">
        <v>656</v>
      </c>
      <c r="C15" s="10" t="s">
        <v>657</v>
      </c>
      <c r="D15" s="10" t="s">
        <v>658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4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4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0"/>
  <sheetViews>
    <sheetView workbookViewId="0">
      <selection activeCell="F11" sqref="F11"/>
    </sheetView>
  </sheetViews>
  <sheetFormatPr baseColWidth="10" defaultColWidth="9" defaultRowHeight="14.25"/>
  <cols>
    <col min="1" max="1" width="30" customWidth="1"/>
    <col min="2" max="3" width="70" customWidth="1"/>
  </cols>
  <sheetData>
    <row r="1" spans="1:14" ht="27.95" customHeight="1">
      <c r="A1" s="14" t="s">
        <v>659</v>
      </c>
      <c r="B1" s="15"/>
      <c r="C1" s="15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6" t="s">
        <v>660</v>
      </c>
      <c r="B2" s="15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0" customHeight="1">
      <c r="A3" s="6" t="s">
        <v>661</v>
      </c>
      <c r="B3" s="6" t="s">
        <v>662</v>
      </c>
      <c r="C3" s="6" t="s">
        <v>663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" customHeight="1">
      <c r="A4" s="7" t="s">
        <v>664</v>
      </c>
      <c r="B4" s="7" t="s">
        <v>48</v>
      </c>
      <c r="C4" s="7" t="s">
        <v>665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8" customHeight="1">
      <c r="A5" s="7" t="s">
        <v>666</v>
      </c>
      <c r="B5" s="7" t="s">
        <v>667</v>
      </c>
      <c r="C5" s="7" t="s">
        <v>668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8" customHeight="1">
      <c r="A6" s="7" t="s">
        <v>669</v>
      </c>
      <c r="B6" s="7" t="s">
        <v>50</v>
      </c>
      <c r="C6" s="7" t="s">
        <v>670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48" customHeight="1">
      <c r="A7" s="7" t="s">
        <v>671</v>
      </c>
      <c r="B7" s="7" t="s">
        <v>672</v>
      </c>
      <c r="C7" s="7" t="s">
        <v>673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8" customHeight="1">
      <c r="A8" s="7" t="s">
        <v>674</v>
      </c>
      <c r="B8" s="7" t="s">
        <v>675</v>
      </c>
      <c r="C8" s="7" t="s">
        <v>676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48" customHeight="1">
      <c r="A9" s="7" t="s">
        <v>677</v>
      </c>
      <c r="B9" s="7" t="s">
        <v>678</v>
      </c>
      <c r="C9" s="7" t="s">
        <v>679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48" customHeight="1">
      <c r="A10" s="7" t="s">
        <v>680</v>
      </c>
      <c r="B10" s="7" t="s">
        <v>681</v>
      </c>
      <c r="C10" s="7" t="s">
        <v>682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4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4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4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4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4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4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4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4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4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4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4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4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4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4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4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4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4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4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4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4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4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4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4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4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4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4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4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4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4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4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4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4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4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4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4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4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4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4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4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4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4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4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4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4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4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4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4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4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4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4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4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4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4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4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4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4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4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4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4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4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4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4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4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4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4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4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4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4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4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4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4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4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4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4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4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4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4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4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4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4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4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4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4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4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4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4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4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4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4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4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4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4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4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4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4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4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4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4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4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4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4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4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4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4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4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4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4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4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4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4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4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4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4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4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4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4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4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4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4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4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4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4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4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4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4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4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4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4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4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4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4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4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4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4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4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4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4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4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4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4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4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4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4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4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4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4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4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4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4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4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4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4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4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4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4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4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4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4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4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4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4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4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4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Product Backlog (2)</vt:lpstr>
      <vt:lpstr>Resumen Scrum</vt:lpstr>
      <vt:lpstr>Plan por Sprint</vt:lpstr>
      <vt:lpstr>Historias de Usuario</vt:lpstr>
      <vt:lpstr>Historias Técnicas</vt:lpstr>
      <vt:lpstr>Product Backlog</vt:lpstr>
      <vt:lpstr>Trazabilidad Repos</vt:lpstr>
      <vt:lpstr>Octalysis</vt:lpstr>
      <vt:lpstr>DoR DoD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FRANCISCO BONILLA OÑATE</cp:lastModifiedBy>
  <dcterms:modified xsi:type="dcterms:W3CDTF">2026-05-25T22:27:14Z</dcterms:modified>
</cp:coreProperties>
</file>